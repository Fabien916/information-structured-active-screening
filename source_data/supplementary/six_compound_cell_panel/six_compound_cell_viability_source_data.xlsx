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662cdbeedb46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86772b68de04415"/>
    <x:sheet xmlns:r="http://schemas.openxmlformats.org/officeDocument/2006/relationships" name="Compound_Metadata" sheetId="2" r:id="R6cc690703e544881"/>
    <x:sheet xmlns:r="http://schemas.openxmlformats.org/officeDocument/2006/relationships" name="Raw_Measurements" sheetId="3" r:id="Rea01a40825b643d2"/>
    <x:sheet xmlns:r="http://schemas.openxmlformats.org/officeDocument/2006/relationships" name="Calculations" sheetId="4" r:id="R3db341e3616848d2"/>
    <x:sheet xmlns:r="http://schemas.openxmlformats.org/officeDocument/2006/relationships" name="Results" sheetId="5" r:id="Rdb1231268be74c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0.000000000000"/>
    <x:numFmt numFmtId="202" formatCode="0.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9">
    <x:border/>
    <x:border>
      <x:left style="thin">
        <x:color rgb="FFB4C7E7"/>
      </x:left>
      <x:top style="thin">
        <x:color rgb="FFB4C7E7"/>
      </x:top>
    </x:border>
    <x:border>
      <x:right style="thin">
        <x:color rgb="FFB4C7E7"/>
      </x:right>
      <x:top style="thin">
        <x:color rgb="FFB4C7E7"/>
      </x:top>
    </x:border>
    <x:border>
      <x:left style="thin">
        <x:color rgb="FFB4C7E7"/>
      </x:left>
    </x:border>
    <x:border>
      <x:right style="thin">
        <x:color rgb="FFB4C7E7"/>
      </x:right>
    </x:border>
    <x:border>
      <x:left style="thin">
        <x:color rgb="FFB4C7E7"/>
      </x:left>
      <x:bottom style="thin">
        <x:color rgb="FFB4C7E7"/>
      </x:bottom>
    </x:border>
    <x:border>
      <x:right style="thin">
        <x:color rgb="FFB4C7E7"/>
      </x:right>
      <x:bottom style="thin">
        <x:color rgb="FFB4C7E7"/>
      </x:bottom>
    </x:border>
    <x:border>
      <x:top style="thin">
        <x:color rgb="FFB4C7E7"/>
      </x:top>
    </x:border>
    <x:border>
      <x:bottom style="thin">
        <x:color rgb="FFB4C7E7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8" xfId="0" applyNumberFormat="1" applyFont="1" applyFill="1" applyBorder="1"/>
    <x:xf numFmtId="0" fontId="0" fillId="0" borderId="6" xfId="0" applyNumberFormat="1" applyFont="1" applyFill="1" applyBorder="1"/>
    <x:xf numFmtId="0" fontId="0" fillId="3" borderId="1" xfId="0" applyNumberFormat="1" applyFont="1" applyFill="1" applyBorder="1"/>
    <x:xf numFmtId="0" fontId="0" fillId="3" borderId="7" xfId="0" applyNumberFormat="1" applyFont="1" applyFill="1" applyBorder="1"/>
    <x:xf numFmtId="0" fontId="0" fillId="3" borderId="2" xfId="0" applyNumberFormat="1" applyFont="1" applyFill="1" applyBorder="1"/>
    <x:xf numFmtId="0" fontId="2" fillId="3" borderId="1" xfId="0" applyNumberFormat="1" applyFont="1" applyFill="1" applyBorder="1"/>
    <x:xf numFmtId="0" fontId="2" fillId="3" borderId="7" xfId="0" applyNumberFormat="1" applyFont="1" applyFill="1" applyBorder="1"/>
    <x:xf numFmtId="0" fontId="2" fillId="3" borderId="2" xfId="0" applyNumberFormat="1" applyFont="1" applyFill="1" applyBorder="1"/>
    <x:xf numFmtId="0" fontId="2" fillId="3" borderId="7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8" xfId="0" applyNumberFormat="1" applyFont="1" applyFill="1" applyBorder="1"/>
    <x:xf numFmtId="201" fontId="0" fillId="0" borderId="0" xfId="0" applyNumberFormat="1" applyFont="1" applyFill="1" applyBorder="1"/>
    <x:xf numFmtId="201" fontId="0" fillId="0" borderId="8" xfId="0" applyNumberFormat="1" applyFont="1" applyFill="1" applyBorder="1"/>
    <x:xf numFmtId="0" fontId="0" fillId="4" borderId="4" xfId="0" applyNumberFormat="1" applyFont="1" applyFill="1" applyBorder="1"/>
    <x:xf numFmtId="0" fontId="0" fillId="4" borderId="6" xfId="0" applyNumberFormat="1" applyFont="1" applyFill="1" applyBorder="1"/>
    <x:xf numFmtId="0" fontId="2" fillId="4" borderId="4" xfId="0" applyNumberFormat="1" applyFont="1" applyFill="1" applyBorder="1"/>
    <x:xf numFmtId="0" fontId="2" fillId="4" borderId="6" xfId="0" applyNumberFormat="1" applyFont="1" applyFill="1" applyBorder="1"/>
    <x:xf numFmtId="0" fontId="2" fillId="4" borderId="4" xfId="0" applyNumberFormat="1" applyFont="1" applyFill="1" applyBorder="1" applyAlignment="1">
      <x:alignment horizontal="center"/>
    </x:xf>
    <x:xf numFmtId="0" fontId="2" fillId="4" borderId="6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850abce3c44e72" /><Relationship Type="http://schemas.openxmlformats.org/officeDocument/2006/relationships/theme" Target="/xl/theme/theme1.xml" Id="R8537853decf54dc7" /><Relationship Type="http://schemas.openxmlformats.org/officeDocument/2006/relationships/sharedStrings" Target="/xl/sharedStrings.xml" Id="R40dbd5694484450a" /><Relationship Type="http://schemas.openxmlformats.org/officeDocument/2006/relationships/worksheet" Target="/xl/worksheets/sheet1.xml" Id="R186772b68de04415" /><Relationship Type="http://schemas.openxmlformats.org/officeDocument/2006/relationships/worksheet" Target="/xl/worksheets/sheet2.xml" Id="R6cc690703e544881" /><Relationship Type="http://schemas.openxmlformats.org/officeDocument/2006/relationships/worksheet" Target="/xl/worksheets/sheet3.xml" Id="Rea01a40825b643d2" /><Relationship Type="http://schemas.openxmlformats.org/officeDocument/2006/relationships/worksheet" Target="/xl/worksheets/sheet4.xml" Id="R3db341e3616848d2" /><Relationship Type="http://schemas.openxmlformats.org/officeDocument/2006/relationships/worksheet" Target="/xl/worksheets/sheet5.xml" Id="Rdb1231268be74c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2" hidden="0" customWidth="1"/>
  </x:cols>
  <x:sheetData>
    <x:row r="1" ht="28" customHeight="1">
      <x:c r="A1" s="4" t="str">
        <x:v>Six-compound CRC cell-viability source data</x:v>
      </x:c>
      <x:c r="B1" s="4"/>
      <x:c r="C1" s="4"/>
      <x:c r="D1" s="4"/>
      <x:c r="E1" s="4"/>
      <x:c r="F1" s="4"/>
    </x:row>
    <x:row r="3">
      <x:c r="A3" s="9" t="str">
        <x:v>Scope</x:v>
      </x:c>
      <x:c r="B3" s="10" t="str">
        <x:v>Only the six compounds assigned to the present computational study are included.</x:v>
      </x:c>
    </x:row>
    <x:row r="4">
      <x:c r="A4" s="11" t="str">
        <x:v>Assay</x:v>
      </x:c>
      <x:c r="B4" s="12" t="str">
        <x:v>Single-concentration CCK-8 cell-viability assay across six colorectal cancer cell lines.</x:v>
      </x:c>
    </x:row>
    <x:row r="5">
      <x:c r="A5" s="11" t="str">
        <x:v>Concentration</x:v>
      </x:c>
      <x:c r="B5" s="12" t="str">
        <x:v>10 uM</x:v>
      </x:c>
    </x:row>
    <x:row r="6">
      <x:c r="A6" s="11" t="str">
        <x:v>Replicates</x:v>
      </x:c>
      <x:c r="B6" s="12" t="str">
        <x:v>Three technical OD450 measurements per compound-cell-line condition.</x:v>
      </x:c>
    </x:row>
    <x:row r="7">
      <x:c r="A7" s="11" t="str">
        <x:v>Calculation</x:v>
      </x:c>
      <x:c r="B7" s="12" t="str">
        <x:v>Inhibition = 1 - (mean treatment - mean blank) / (mean normalization reference - mean blank).</x:v>
      </x:c>
    </x:row>
    <x:row r="8">
      <x:c r="A8" s="11" t="str">
        <x:v>Raw measurements</x:v>
      </x:c>
      <x:c r="B8" s="12" t="str">
        <x:v>Raw_Measurements contains treatment, normalization-reference and blank OD450 values.</x:v>
      </x:c>
    </x:row>
    <x:row r="9">
      <x:c r="A9" s="11" t="str">
        <x:v>Calculations</x:v>
      </x:c>
      <x:c r="B9" s="12" t="str">
        <x:v>Calculations recomputes every reported inhibition value from the underlying measurements.</x:v>
      </x:c>
    </x:row>
    <x:row r="10">
      <x:c r="A10" s="11" t="str">
        <x:v>Original source</x:v>
      </x:c>
      <x:c r="B10" s="12" t="str">
        <x:v>TS-20251120-02-HCT116、SW620、HT29，DLD-1，SW480，LoVo细胞CCK8测试数据分析结果.xlsx</x:v>
      </x:c>
    </x:row>
    <x:row r="11">
      <x:c r="A11" s="13" t="str">
        <x:v>Original SHA256</x:v>
      </x:c>
      <x:c r="B11" s="14" t="str">
        <x:v>d03a440f93ffef485ca470a4e1f6df8a66cb985eefc46fc14b3c285064185d22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9" t="str">
        <x:v>panel_id</x:v>
      </x:c>
      <x:c r="B1" s="32" t="str">
        <x:v>compound_id</x:v>
      </x:c>
      <x:c r="C1" s="32" t="str">
        <x:v>compound_name</x:v>
      </x:c>
      <x:c r="D1" s="32" t="str">
        <x:v>source_compound_index</x:v>
      </x:c>
      <x:c r="E1" s="32" t="str">
        <x:v>source_plate_id</x:v>
      </x:c>
      <x:c r="F1" s="33" t="str">
        <x:v>assay_concentration_uM</x:v>
      </x:c>
    </x:row>
    <x:row r="2">
      <x:c r="A2" s="20" t="str">
        <x:v>M1</x:v>
      </x:c>
      <x:c r="B2" s="21" t="str">
        <x:v>T9335</x:v>
      </x:c>
      <x:c r="C2" s="21" t="str">
        <x:v>1,1'-Methylenedi-2-naphthol</x:v>
      </x:c>
      <x:c r="D2" s="21" t="n">
        <x:v>17</x:v>
      </x:c>
      <x:c r="E2" s="21" t="n">
        <x:v>1</x:v>
      </x:c>
      <x:c r="F2" s="22" t="n">
        <x:v>10</x:v>
      </x:c>
    </x:row>
    <x:row r="3">
      <x:c r="A3" s="20" t="str">
        <x:v>M2</x:v>
      </x:c>
      <x:c r="B3" s="21" t="str">
        <x:v>T61189</x:v>
      </x:c>
      <x:c r="C3" s="21" t="str">
        <x:v>E7016</x:v>
      </x:c>
      <x:c r="D3" s="21" t="n">
        <x:v>13</x:v>
      </x:c>
      <x:c r="E3" s="21" t="n">
        <x:v>1</x:v>
      </x:c>
      <x:c r="F3" s="22" t="n">
        <x:v>10</x:v>
      </x:c>
    </x:row>
    <x:row r="4">
      <x:c r="A4" s="20" t="str">
        <x:v>M3</x:v>
      </x:c>
      <x:c r="B4" s="21" t="str">
        <x:v>T12502</x:v>
      </x:c>
      <x:c r="C4" s="21" t="str">
        <x:v>PLpro inhibitor</x:v>
      </x:c>
      <x:c r="D4" s="21" t="n">
        <x:v>21</x:v>
      </x:c>
      <x:c r="E4" s="21" t="n">
        <x:v>2</x:v>
      </x:c>
      <x:c r="F4" s="22" t="n">
        <x:v>10</x:v>
      </x:c>
    </x:row>
    <x:row r="5">
      <x:c r="A5" s="20" t="str">
        <x:v>M4</x:v>
      </x:c>
      <x:c r="B5" s="21" t="str">
        <x:v>T6853</x:v>
      </x:c>
      <x:c r="C5" s="21" t="str">
        <x:v>GSK591</x:v>
      </x:c>
      <x:c r="D5" s="21" t="n">
        <x:v>22</x:v>
      </x:c>
      <x:c r="E5" s="21" t="n">
        <x:v>2</x:v>
      </x:c>
      <x:c r="F5" s="22" t="n">
        <x:v>10</x:v>
      </x:c>
    </x:row>
    <x:row r="6">
      <x:c r="A6" s="20" t="str">
        <x:v>M5</x:v>
      </x:c>
      <x:c r="B6" s="21" t="str">
        <x:v>T6980</x:v>
      </x:c>
      <x:c r="C6" s="21" t="str">
        <x:v>Scriptaid</x:v>
      </x:c>
      <x:c r="D6" s="21" t="n">
        <x:v>27</x:v>
      </x:c>
      <x:c r="E6" s="21" t="n">
        <x:v>2</x:v>
      </x:c>
      <x:c r="F6" s="22" t="n">
        <x:v>10</x:v>
      </x:c>
    </x:row>
    <x:row r="7">
      <x:c r="A7" s="23" t="str">
        <x:v>M6</x:v>
      </x:c>
      <x:c r="B7" s="24" t="str">
        <x:v>T60904</x:v>
      </x:c>
      <x:c r="C7" s="24" t="str">
        <x:v>ERCC1-XPF-IN-2</x:v>
      </x:c>
      <x:c r="D7" s="24" t="n">
        <x:v>19</x:v>
      </x:c>
      <x:c r="E7" s="24" t="n">
        <x:v>2</x:v>
      </x:c>
      <x:c r="F7" s="25" t="n">
        <x:v>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  <x:col min="8" max="8" width="18" hidden="0" customWidth="1"/>
    <x:col min="9" max="9" width="18" hidden="0" customWidth="1"/>
  </x:cols>
  <x:sheetData>
    <x:row r="1">
      <x:c r="A1" s="9" t="str">
        <x:v>panel_id</x:v>
      </x:c>
      <x:c r="B1" s="32" t="str">
        <x:v>compound_id</x:v>
      </x:c>
      <x:c r="C1" s="32" t="str">
        <x:v>compound_name</x:v>
      </x:c>
      <x:c r="D1" s="32" t="str">
        <x:v>cell_line</x:v>
      </x:c>
      <x:c r="E1" s="32" t="str">
        <x:v>plate_id</x:v>
      </x:c>
      <x:c r="F1" s="32" t="str">
        <x:v>source_sheet</x:v>
      </x:c>
      <x:c r="G1" s="32" t="str">
        <x:v>measurement_type</x:v>
      </x:c>
      <x:c r="H1" s="32" t="str">
        <x:v>replicate</x:v>
      </x:c>
      <x:c r="I1" s="33" t="str">
        <x:v>od450</x:v>
      </x:c>
    </x:row>
    <x:row r="2">
      <x:c r="A2" s="20" t="str">
        <x:v>M1</x:v>
      </x:c>
      <x:c r="B2" s="21" t="str">
        <x:v>T9335</x:v>
      </x:c>
      <x:c r="C2" s="21" t="str">
        <x:v>1,1'-Methylenedi-2-naphthol</x:v>
      </x:c>
      <x:c r="D2" s="21" t="str">
        <x:v>HCT116</x:v>
      </x:c>
      <x:c r="E2" s="21" t="n">
        <x:v>1</x:v>
      </x:c>
      <x:c r="F2" s="21" t="str">
        <x:v>HCT-116 1</x:v>
      </x:c>
      <x:c r="G2" s="21" t="str">
        <x:v>treatment</x:v>
      </x:c>
      <x:c r="H2" s="21" t="n">
        <x:v>1</x:v>
      </x:c>
      <x:c r="I2" s="22" t="n">
        <x:v>0.9137</x:v>
      </x:c>
    </x:row>
    <x:row r="3">
      <x:c r="A3" s="20" t="str">
        <x:v>M1</x:v>
      </x:c>
      <x:c r="B3" s="21" t="str">
        <x:v>T9335</x:v>
      </x:c>
      <x:c r="C3" s="21" t="str">
        <x:v>1,1'-Methylenedi-2-naphthol</x:v>
      </x:c>
      <x:c r="D3" s="21" t="str">
        <x:v>HCT116</x:v>
      </x:c>
      <x:c r="E3" s="21" t="n">
        <x:v>1</x:v>
      </x:c>
      <x:c r="F3" s="21" t="str">
        <x:v>HCT-116 1</x:v>
      </x:c>
      <x:c r="G3" s="21" t="str">
        <x:v>treatment</x:v>
      </x:c>
      <x:c r="H3" s="21" t="n">
        <x:v>2</x:v>
      </x:c>
      <x:c r="I3" s="22" t="n">
        <x:v>1.0598</x:v>
      </x:c>
    </x:row>
    <x:row r="4">
      <x:c r="A4" s="20" t="str">
        <x:v>M1</x:v>
      </x:c>
      <x:c r="B4" s="21" t="str">
        <x:v>T9335</x:v>
      </x:c>
      <x:c r="C4" s="21" t="str">
        <x:v>1,1'-Methylenedi-2-naphthol</x:v>
      </x:c>
      <x:c r="D4" s="21" t="str">
        <x:v>HCT116</x:v>
      </x:c>
      <x:c r="E4" s="21" t="n">
        <x:v>1</x:v>
      </x:c>
      <x:c r="F4" s="21" t="str">
        <x:v>HCT-116 1</x:v>
      </x:c>
      <x:c r="G4" s="21" t="str">
        <x:v>treatment</x:v>
      </x:c>
      <x:c r="H4" s="21" t="n">
        <x:v>3</x:v>
      </x:c>
      <x:c r="I4" s="22" t="n">
        <x:v>0.8319</x:v>
      </x:c>
    </x:row>
    <x:row r="5">
      <x:c r="A5" s="20" t="str">
        <x:v>M1</x:v>
      </x:c>
      <x:c r="B5" s="21" t="str">
        <x:v>T9335</x:v>
      </x:c>
      <x:c r="C5" s="21" t="str">
        <x:v>1,1'-Methylenedi-2-naphthol</x:v>
      </x:c>
      <x:c r="D5" s="21" t="str">
        <x:v>HCT116</x:v>
      </x:c>
      <x:c r="E5" s="21" t="n">
        <x:v>1</x:v>
      </x:c>
      <x:c r="F5" s="21" t="str">
        <x:v>HCT-116 1</x:v>
      </x:c>
      <x:c r="G5" s="21" t="str">
        <x:v>normalization_reference</x:v>
      </x:c>
      <x:c r="H5" s="21" t="n">
        <x:v>1</x:v>
      </x:c>
      <x:c r="I5" s="22" t="n">
        <x:v>1.4315</x:v>
      </x:c>
    </x:row>
    <x:row r="6">
      <x:c r="A6" s="20" t="str">
        <x:v>M1</x:v>
      </x:c>
      <x:c r="B6" s="21" t="str">
        <x:v>T9335</x:v>
      </x:c>
      <x:c r="C6" s="21" t="str">
        <x:v>1,1'-Methylenedi-2-naphthol</x:v>
      </x:c>
      <x:c r="D6" s="21" t="str">
        <x:v>HCT116</x:v>
      </x:c>
      <x:c r="E6" s="21" t="n">
        <x:v>1</x:v>
      </x:c>
      <x:c r="F6" s="21" t="str">
        <x:v>HCT-116 1</x:v>
      </x:c>
      <x:c r="G6" s="21" t="str">
        <x:v>normalization_reference</x:v>
      </x:c>
      <x:c r="H6" s="21" t="n">
        <x:v>2</x:v>
      </x:c>
      <x:c r="I6" s="22" t="n">
        <x:v>1.3717</x:v>
      </x:c>
    </x:row>
    <x:row r="7">
      <x:c r="A7" s="20" t="str">
        <x:v>M1</x:v>
      </x:c>
      <x:c r="B7" s="21" t="str">
        <x:v>T9335</x:v>
      </x:c>
      <x:c r="C7" s="21" t="str">
        <x:v>1,1'-Methylenedi-2-naphthol</x:v>
      </x:c>
      <x:c r="D7" s="21" t="str">
        <x:v>HCT116</x:v>
      </x:c>
      <x:c r="E7" s="21" t="n">
        <x:v>1</x:v>
      </x:c>
      <x:c r="F7" s="21" t="str">
        <x:v>HCT-116 1</x:v>
      </x:c>
      <x:c r="G7" s="21" t="str">
        <x:v>normalization_reference</x:v>
      </x:c>
      <x:c r="H7" s="21" t="n">
        <x:v>3</x:v>
      </x:c>
      <x:c r="I7" s="22" t="n">
        <x:v>1.1475</x:v>
      </x:c>
    </x:row>
    <x:row r="8">
      <x:c r="A8" s="20" t="str">
        <x:v>M1</x:v>
      </x:c>
      <x:c r="B8" s="21" t="str">
        <x:v>T9335</x:v>
      </x:c>
      <x:c r="C8" s="21" t="str">
        <x:v>1,1'-Methylenedi-2-naphthol</x:v>
      </x:c>
      <x:c r="D8" s="21" t="str">
        <x:v>HCT116</x:v>
      </x:c>
      <x:c r="E8" s="21" t="n">
        <x:v>1</x:v>
      </x:c>
      <x:c r="F8" s="21" t="str">
        <x:v>HCT-116 1</x:v>
      </x:c>
      <x:c r="G8" s="21" t="str">
        <x:v>blank</x:v>
      </x:c>
      <x:c r="H8" s="21" t="n">
        <x:v>1</x:v>
      </x:c>
      <x:c r="I8" s="22" t="n">
        <x:v>0.3439</x:v>
      </x:c>
    </x:row>
    <x:row r="9">
      <x:c r="A9" s="20" t="str">
        <x:v>M1</x:v>
      </x:c>
      <x:c r="B9" s="21" t="str">
        <x:v>T9335</x:v>
      </x:c>
      <x:c r="C9" s="21" t="str">
        <x:v>1,1'-Methylenedi-2-naphthol</x:v>
      </x:c>
      <x:c r="D9" s="21" t="str">
        <x:v>HCT116</x:v>
      </x:c>
      <x:c r="E9" s="21" t="n">
        <x:v>1</x:v>
      </x:c>
      <x:c r="F9" s="21" t="str">
        <x:v>HCT-116 1</x:v>
      </x:c>
      <x:c r="G9" s="21" t="str">
        <x:v>blank</x:v>
      </x:c>
      <x:c r="H9" s="21" t="n">
        <x:v>2</x:v>
      </x:c>
      <x:c r="I9" s="22" t="n">
        <x:v>0.3166</x:v>
      </x:c>
    </x:row>
    <x:row r="10">
      <x:c r="A10" s="20" t="str">
        <x:v>M1</x:v>
      </x:c>
      <x:c r="B10" s="21" t="str">
        <x:v>T9335</x:v>
      </x:c>
      <x:c r="C10" s="21" t="str">
        <x:v>1,1'-Methylenedi-2-naphthol</x:v>
      </x:c>
      <x:c r="D10" s="21" t="str">
        <x:v>HCT116</x:v>
      </x:c>
      <x:c r="E10" s="21" t="n">
        <x:v>1</x:v>
      </x:c>
      <x:c r="F10" s="21" t="str">
        <x:v>HCT-116 1</x:v>
      </x:c>
      <x:c r="G10" s="21" t="str">
        <x:v>blank</x:v>
      </x:c>
      <x:c r="H10" s="21" t="n">
        <x:v>3</x:v>
      </x:c>
      <x:c r="I10" s="22" t="n">
        <x:v>0.3193</x:v>
      </x:c>
    </x:row>
    <x:row r="11">
      <x:c r="A11" s="20" t="str">
        <x:v>M2</x:v>
      </x:c>
      <x:c r="B11" s="21" t="str">
        <x:v>T61189</x:v>
      </x:c>
      <x:c r="C11" s="21" t="str">
        <x:v>E7016</x:v>
      </x:c>
      <x:c r="D11" s="21" t="str">
        <x:v>HCT116</x:v>
      </x:c>
      <x:c r="E11" s="21" t="n">
        <x:v>1</x:v>
      </x:c>
      <x:c r="F11" s="21" t="str">
        <x:v>HCT-116 1</x:v>
      </x:c>
      <x:c r="G11" s="21" t="str">
        <x:v>treatment</x:v>
      </x:c>
      <x:c r="H11" s="21" t="n">
        <x:v>1</x:v>
      </x:c>
      <x:c r="I11" s="22" t="n">
        <x:v>1.0172</x:v>
      </x:c>
    </x:row>
    <x:row r="12">
      <x:c r="A12" s="20" t="str">
        <x:v>M2</x:v>
      </x:c>
      <x:c r="B12" s="21" t="str">
        <x:v>T61189</x:v>
      </x:c>
      <x:c r="C12" s="21" t="str">
        <x:v>E7016</x:v>
      </x:c>
      <x:c r="D12" s="21" t="str">
        <x:v>HCT116</x:v>
      </x:c>
      <x:c r="E12" s="21" t="n">
        <x:v>1</x:v>
      </x:c>
      <x:c r="F12" s="21" t="str">
        <x:v>HCT-116 1</x:v>
      </x:c>
      <x:c r="G12" s="21" t="str">
        <x:v>treatment</x:v>
      </x:c>
      <x:c r="H12" s="21" t="n">
        <x:v>2</x:v>
      </x:c>
      <x:c r="I12" s="22" t="n">
        <x:v>1.6888</x:v>
      </x:c>
    </x:row>
    <x:row r="13">
      <x:c r="A13" s="20" t="str">
        <x:v>M2</x:v>
      </x:c>
      <x:c r="B13" s="21" t="str">
        <x:v>T61189</x:v>
      </x:c>
      <x:c r="C13" s="21" t="str">
        <x:v>E7016</x:v>
      </x:c>
      <x:c r="D13" s="21" t="str">
        <x:v>HCT116</x:v>
      </x:c>
      <x:c r="E13" s="21" t="n">
        <x:v>1</x:v>
      </x:c>
      <x:c r="F13" s="21" t="str">
        <x:v>HCT-116 1</x:v>
      </x:c>
      <x:c r="G13" s="21" t="str">
        <x:v>treatment</x:v>
      </x:c>
      <x:c r="H13" s="21" t="n">
        <x:v>3</x:v>
      </x:c>
      <x:c r="I13" s="22" t="n">
        <x:v>1.4126</x:v>
      </x:c>
    </x:row>
    <x:row r="14">
      <x:c r="A14" s="20" t="str">
        <x:v>M2</x:v>
      </x:c>
      <x:c r="B14" s="21" t="str">
        <x:v>T61189</x:v>
      </x:c>
      <x:c r="C14" s="21" t="str">
        <x:v>E7016</x:v>
      </x:c>
      <x:c r="D14" s="21" t="str">
        <x:v>HCT116</x:v>
      </x:c>
      <x:c r="E14" s="21" t="n">
        <x:v>1</x:v>
      </x:c>
      <x:c r="F14" s="21" t="str">
        <x:v>HCT-116 1</x:v>
      </x:c>
      <x:c r="G14" s="21" t="str">
        <x:v>normalization_reference</x:v>
      </x:c>
      <x:c r="H14" s="21" t="n">
        <x:v>1</x:v>
      </x:c>
      <x:c r="I14" s="22" t="n">
        <x:v>1.4315</x:v>
      </x:c>
    </x:row>
    <x:row r="15">
      <x:c r="A15" s="20" t="str">
        <x:v>M2</x:v>
      </x:c>
      <x:c r="B15" s="21" t="str">
        <x:v>T61189</x:v>
      </x:c>
      <x:c r="C15" s="21" t="str">
        <x:v>E7016</x:v>
      </x:c>
      <x:c r="D15" s="21" t="str">
        <x:v>HCT116</x:v>
      </x:c>
      <x:c r="E15" s="21" t="n">
        <x:v>1</x:v>
      </x:c>
      <x:c r="F15" s="21" t="str">
        <x:v>HCT-116 1</x:v>
      </x:c>
      <x:c r="G15" s="21" t="str">
        <x:v>normalization_reference</x:v>
      </x:c>
      <x:c r="H15" s="21" t="n">
        <x:v>2</x:v>
      </x:c>
      <x:c r="I15" s="22" t="n">
        <x:v>1.3717</x:v>
      </x:c>
    </x:row>
    <x:row r="16">
      <x:c r="A16" s="20" t="str">
        <x:v>M2</x:v>
      </x:c>
      <x:c r="B16" s="21" t="str">
        <x:v>T61189</x:v>
      </x:c>
      <x:c r="C16" s="21" t="str">
        <x:v>E7016</x:v>
      </x:c>
      <x:c r="D16" s="21" t="str">
        <x:v>HCT116</x:v>
      </x:c>
      <x:c r="E16" s="21" t="n">
        <x:v>1</x:v>
      </x:c>
      <x:c r="F16" s="21" t="str">
        <x:v>HCT-116 1</x:v>
      </x:c>
      <x:c r="G16" s="21" t="str">
        <x:v>normalization_reference</x:v>
      </x:c>
      <x:c r="H16" s="21" t="n">
        <x:v>3</x:v>
      </x:c>
      <x:c r="I16" s="22" t="n">
        <x:v>1.1475</x:v>
      </x:c>
    </x:row>
    <x:row r="17">
      <x:c r="A17" s="20" t="str">
        <x:v>M2</x:v>
      </x:c>
      <x:c r="B17" s="21" t="str">
        <x:v>T61189</x:v>
      </x:c>
      <x:c r="C17" s="21" t="str">
        <x:v>E7016</x:v>
      </x:c>
      <x:c r="D17" s="21" t="str">
        <x:v>HCT116</x:v>
      </x:c>
      <x:c r="E17" s="21" t="n">
        <x:v>1</x:v>
      </x:c>
      <x:c r="F17" s="21" t="str">
        <x:v>HCT-116 1</x:v>
      </x:c>
      <x:c r="G17" s="21" t="str">
        <x:v>blank</x:v>
      </x:c>
      <x:c r="H17" s="21" t="n">
        <x:v>1</x:v>
      </x:c>
      <x:c r="I17" s="22" t="n">
        <x:v>0.3439</x:v>
      </x:c>
    </x:row>
    <x:row r="18">
      <x:c r="A18" s="20" t="str">
        <x:v>M2</x:v>
      </x:c>
      <x:c r="B18" s="21" t="str">
        <x:v>T61189</x:v>
      </x:c>
      <x:c r="C18" s="21" t="str">
        <x:v>E7016</x:v>
      </x:c>
      <x:c r="D18" s="21" t="str">
        <x:v>HCT116</x:v>
      </x:c>
      <x:c r="E18" s="21" t="n">
        <x:v>1</x:v>
      </x:c>
      <x:c r="F18" s="21" t="str">
        <x:v>HCT-116 1</x:v>
      </x:c>
      <x:c r="G18" s="21" t="str">
        <x:v>blank</x:v>
      </x:c>
      <x:c r="H18" s="21" t="n">
        <x:v>2</x:v>
      </x:c>
      <x:c r="I18" s="22" t="n">
        <x:v>0.3166</x:v>
      </x:c>
    </x:row>
    <x:row r="19">
      <x:c r="A19" s="20" t="str">
        <x:v>M2</x:v>
      </x:c>
      <x:c r="B19" s="21" t="str">
        <x:v>T61189</x:v>
      </x:c>
      <x:c r="C19" s="21" t="str">
        <x:v>E7016</x:v>
      </x:c>
      <x:c r="D19" s="21" t="str">
        <x:v>HCT116</x:v>
      </x:c>
      <x:c r="E19" s="21" t="n">
        <x:v>1</x:v>
      </x:c>
      <x:c r="F19" s="21" t="str">
        <x:v>HCT-116 1</x:v>
      </x:c>
      <x:c r="G19" s="21" t="str">
        <x:v>blank</x:v>
      </x:c>
      <x:c r="H19" s="21" t="n">
        <x:v>3</x:v>
      </x:c>
      <x:c r="I19" s="22" t="n">
        <x:v>0.3193</x:v>
      </x:c>
    </x:row>
    <x:row r="20">
      <x:c r="A20" s="20" t="str">
        <x:v>M3</x:v>
      </x:c>
      <x:c r="B20" s="21" t="str">
        <x:v>T12502</x:v>
      </x:c>
      <x:c r="C20" s="21" t="str">
        <x:v>PLpro inhibitor</x:v>
      </x:c>
      <x:c r="D20" s="21" t="str">
        <x:v>HCT116</x:v>
      </x:c>
      <x:c r="E20" s="21" t="n">
        <x:v>2</x:v>
      </x:c>
      <x:c r="F20" s="21" t="str">
        <x:v>HCT-116 2</x:v>
      </x:c>
      <x:c r="G20" s="21" t="str">
        <x:v>treatment</x:v>
      </x:c>
      <x:c r="H20" s="21" t="n">
        <x:v>1</x:v>
      </x:c>
      <x:c r="I20" s="22" t="n">
        <x:v>1.6549</x:v>
      </x:c>
    </x:row>
    <x:row r="21">
      <x:c r="A21" s="20" t="str">
        <x:v>M3</x:v>
      </x:c>
      <x:c r="B21" s="21" t="str">
        <x:v>T12502</x:v>
      </x:c>
      <x:c r="C21" s="21" t="str">
        <x:v>PLpro inhibitor</x:v>
      </x:c>
      <x:c r="D21" s="21" t="str">
        <x:v>HCT116</x:v>
      </x:c>
      <x:c r="E21" s="21" t="n">
        <x:v>2</x:v>
      </x:c>
      <x:c r="F21" s="21" t="str">
        <x:v>HCT-116 2</x:v>
      </x:c>
      <x:c r="G21" s="21" t="str">
        <x:v>treatment</x:v>
      </x:c>
      <x:c r="H21" s="21" t="n">
        <x:v>2</x:v>
      </x:c>
      <x:c r="I21" s="22" t="n">
        <x:v>1.4238</x:v>
      </x:c>
    </x:row>
    <x:row r="22">
      <x:c r="A22" s="20" t="str">
        <x:v>M3</x:v>
      </x:c>
      <x:c r="B22" s="21" t="str">
        <x:v>T12502</x:v>
      </x:c>
      <x:c r="C22" s="21" t="str">
        <x:v>PLpro inhibitor</x:v>
      </x:c>
      <x:c r="D22" s="21" t="str">
        <x:v>HCT116</x:v>
      </x:c>
      <x:c r="E22" s="21" t="n">
        <x:v>2</x:v>
      </x:c>
      <x:c r="F22" s="21" t="str">
        <x:v>HCT-116 2</x:v>
      </x:c>
      <x:c r="G22" s="21" t="str">
        <x:v>treatment</x:v>
      </x:c>
      <x:c r="H22" s="21" t="n">
        <x:v>3</x:v>
      </x:c>
      <x:c r="I22" s="22" t="n">
        <x:v>1.6164</x:v>
      </x:c>
    </x:row>
    <x:row r="23">
      <x:c r="A23" s="20" t="str">
        <x:v>M3</x:v>
      </x:c>
      <x:c r="B23" s="21" t="str">
        <x:v>T12502</x:v>
      </x:c>
      <x:c r="C23" s="21" t="str">
        <x:v>PLpro inhibitor</x:v>
      </x:c>
      <x:c r="D23" s="21" t="str">
        <x:v>HCT116</x:v>
      </x:c>
      <x:c r="E23" s="21" t="n">
        <x:v>2</x:v>
      </x:c>
      <x:c r="F23" s="21" t="str">
        <x:v>HCT-116 2</x:v>
      </x:c>
      <x:c r="G23" s="21" t="str">
        <x:v>normalization_reference</x:v>
      </x:c>
      <x:c r="H23" s="21" t="n">
        <x:v>1</x:v>
      </x:c>
      <x:c r="I23" s="22" t="n">
        <x:v>1.2811</x:v>
      </x:c>
    </x:row>
    <x:row r="24">
      <x:c r="A24" s="20" t="str">
        <x:v>M3</x:v>
      </x:c>
      <x:c r="B24" s="21" t="str">
        <x:v>T12502</x:v>
      </x:c>
      <x:c r="C24" s="21" t="str">
        <x:v>PLpro inhibitor</x:v>
      </x:c>
      <x:c r="D24" s="21" t="str">
        <x:v>HCT116</x:v>
      </x:c>
      <x:c r="E24" s="21" t="n">
        <x:v>2</x:v>
      </x:c>
      <x:c r="F24" s="21" t="str">
        <x:v>HCT-116 2</x:v>
      </x:c>
      <x:c r="G24" s="21" t="str">
        <x:v>normalization_reference</x:v>
      </x:c>
      <x:c r="H24" s="21" t="n">
        <x:v>2</x:v>
      </x:c>
      <x:c r="I24" s="22" t="n">
        <x:v>1.4958</x:v>
      </x:c>
    </x:row>
    <x:row r="25">
      <x:c r="A25" s="20" t="str">
        <x:v>M3</x:v>
      </x:c>
      <x:c r="B25" s="21" t="str">
        <x:v>T12502</x:v>
      </x:c>
      <x:c r="C25" s="21" t="str">
        <x:v>PLpro inhibitor</x:v>
      </x:c>
      <x:c r="D25" s="21" t="str">
        <x:v>HCT116</x:v>
      </x:c>
      <x:c r="E25" s="21" t="n">
        <x:v>2</x:v>
      </x:c>
      <x:c r="F25" s="21" t="str">
        <x:v>HCT-116 2</x:v>
      </x:c>
      <x:c r="G25" s="21" t="str">
        <x:v>normalization_reference</x:v>
      </x:c>
      <x:c r="H25" s="21" t="n">
        <x:v>3</x:v>
      </x:c>
      <x:c r="I25" s="22" t="n">
        <x:v>1.3525</x:v>
      </x:c>
    </x:row>
    <x:row r="26">
      <x:c r="A26" s="20" t="str">
        <x:v>M3</x:v>
      </x:c>
      <x:c r="B26" s="21" t="str">
        <x:v>T12502</x:v>
      </x:c>
      <x:c r="C26" s="21" t="str">
        <x:v>PLpro inhibitor</x:v>
      </x:c>
      <x:c r="D26" s="21" t="str">
        <x:v>HCT116</x:v>
      </x:c>
      <x:c r="E26" s="21" t="n">
        <x:v>2</x:v>
      </x:c>
      <x:c r="F26" s="21" t="str">
        <x:v>HCT-116 2</x:v>
      </x:c>
      <x:c r="G26" s="21" t="str">
        <x:v>blank</x:v>
      </x:c>
      <x:c r="H26" s="21" t="n">
        <x:v>1</x:v>
      </x:c>
      <x:c r="I26" s="22" t="n">
        <x:v>0.2909</x:v>
      </x:c>
    </x:row>
    <x:row r="27">
      <x:c r="A27" s="20" t="str">
        <x:v>M3</x:v>
      </x:c>
      <x:c r="B27" s="21" t="str">
        <x:v>T12502</x:v>
      </x:c>
      <x:c r="C27" s="21" t="str">
        <x:v>PLpro inhibitor</x:v>
      </x:c>
      <x:c r="D27" s="21" t="str">
        <x:v>HCT116</x:v>
      </x:c>
      <x:c r="E27" s="21" t="n">
        <x:v>2</x:v>
      </x:c>
      <x:c r="F27" s="21" t="str">
        <x:v>HCT-116 2</x:v>
      </x:c>
      <x:c r="G27" s="21" t="str">
        <x:v>blank</x:v>
      </x:c>
      <x:c r="H27" s="21" t="n">
        <x:v>2</x:v>
      </x:c>
      <x:c r="I27" s="22" t="n">
        <x:v>0.2863</x:v>
      </x:c>
    </x:row>
    <x:row r="28">
      <x:c r="A28" s="20" t="str">
        <x:v>M3</x:v>
      </x:c>
      <x:c r="B28" s="21" t="str">
        <x:v>T12502</x:v>
      </x:c>
      <x:c r="C28" s="21" t="str">
        <x:v>PLpro inhibitor</x:v>
      </x:c>
      <x:c r="D28" s="21" t="str">
        <x:v>HCT116</x:v>
      </x:c>
      <x:c r="E28" s="21" t="n">
        <x:v>2</x:v>
      </x:c>
      <x:c r="F28" s="21" t="str">
        <x:v>HCT-116 2</x:v>
      </x:c>
      <x:c r="G28" s="21" t="str">
        <x:v>blank</x:v>
      </x:c>
      <x:c r="H28" s="21" t="n">
        <x:v>3</x:v>
      </x:c>
      <x:c r="I28" s="22" t="n">
        <x:v>0.2938</x:v>
      </x:c>
    </x:row>
    <x:row r="29">
      <x:c r="A29" s="20" t="str">
        <x:v>M4</x:v>
      </x:c>
      <x:c r="B29" s="21" t="str">
        <x:v>T6853</x:v>
      </x:c>
      <x:c r="C29" s="21" t="str">
        <x:v>GSK591</x:v>
      </x:c>
      <x:c r="D29" s="21" t="str">
        <x:v>HCT116</x:v>
      </x:c>
      <x:c r="E29" s="21" t="n">
        <x:v>2</x:v>
      </x:c>
      <x:c r="F29" s="21" t="str">
        <x:v>HCT-116 2</x:v>
      </x:c>
      <x:c r="G29" s="21" t="str">
        <x:v>treatment</x:v>
      </x:c>
      <x:c r="H29" s="21" t="n">
        <x:v>1</x:v>
      </x:c>
      <x:c r="I29" s="22" t="n">
        <x:v>0.8034</x:v>
      </x:c>
    </x:row>
    <x:row r="30">
      <x:c r="A30" s="20" t="str">
        <x:v>M4</x:v>
      </x:c>
      <x:c r="B30" s="21" t="str">
        <x:v>T6853</x:v>
      </x:c>
      <x:c r="C30" s="21" t="str">
        <x:v>GSK591</x:v>
      </x:c>
      <x:c r="D30" s="21" t="str">
        <x:v>HCT116</x:v>
      </x:c>
      <x:c r="E30" s="21" t="n">
        <x:v>2</x:v>
      </x:c>
      <x:c r="F30" s="21" t="str">
        <x:v>HCT-116 2</x:v>
      </x:c>
      <x:c r="G30" s="21" t="str">
        <x:v>treatment</x:v>
      </x:c>
      <x:c r="H30" s="21" t="n">
        <x:v>2</x:v>
      </x:c>
      <x:c r="I30" s="22" t="n">
        <x:v>1.311</x:v>
      </x:c>
    </x:row>
    <x:row r="31">
      <x:c r="A31" s="20" t="str">
        <x:v>M4</x:v>
      </x:c>
      <x:c r="B31" s="21" t="str">
        <x:v>T6853</x:v>
      </x:c>
      <x:c r="C31" s="21" t="str">
        <x:v>GSK591</x:v>
      </x:c>
      <x:c r="D31" s="21" t="str">
        <x:v>HCT116</x:v>
      </x:c>
      <x:c r="E31" s="21" t="n">
        <x:v>2</x:v>
      </x:c>
      <x:c r="F31" s="21" t="str">
        <x:v>HCT-116 2</x:v>
      </x:c>
      <x:c r="G31" s="21" t="str">
        <x:v>treatment</x:v>
      </x:c>
      <x:c r="H31" s="21" t="n">
        <x:v>3</x:v>
      </x:c>
      <x:c r="I31" s="22" t="n">
        <x:v>1.0649</x:v>
      </x:c>
    </x:row>
    <x:row r="32">
      <x:c r="A32" s="20" t="str">
        <x:v>M4</x:v>
      </x:c>
      <x:c r="B32" s="21" t="str">
        <x:v>T6853</x:v>
      </x:c>
      <x:c r="C32" s="21" t="str">
        <x:v>GSK591</x:v>
      </x:c>
      <x:c r="D32" s="21" t="str">
        <x:v>HCT116</x:v>
      </x:c>
      <x:c r="E32" s="21" t="n">
        <x:v>2</x:v>
      </x:c>
      <x:c r="F32" s="21" t="str">
        <x:v>HCT-116 2</x:v>
      </x:c>
      <x:c r="G32" s="21" t="str">
        <x:v>normalization_reference</x:v>
      </x:c>
      <x:c r="H32" s="21" t="n">
        <x:v>1</x:v>
      </x:c>
      <x:c r="I32" s="22" t="n">
        <x:v>1.2811</x:v>
      </x:c>
    </x:row>
    <x:row r="33">
      <x:c r="A33" s="20" t="str">
        <x:v>M4</x:v>
      </x:c>
      <x:c r="B33" s="21" t="str">
        <x:v>T6853</x:v>
      </x:c>
      <x:c r="C33" s="21" t="str">
        <x:v>GSK591</x:v>
      </x:c>
      <x:c r="D33" s="21" t="str">
        <x:v>HCT116</x:v>
      </x:c>
      <x:c r="E33" s="21" t="n">
        <x:v>2</x:v>
      </x:c>
      <x:c r="F33" s="21" t="str">
        <x:v>HCT-116 2</x:v>
      </x:c>
      <x:c r="G33" s="21" t="str">
        <x:v>normalization_reference</x:v>
      </x:c>
      <x:c r="H33" s="21" t="n">
        <x:v>2</x:v>
      </x:c>
      <x:c r="I33" s="22" t="n">
        <x:v>1.4958</x:v>
      </x:c>
    </x:row>
    <x:row r="34">
      <x:c r="A34" s="20" t="str">
        <x:v>M4</x:v>
      </x:c>
      <x:c r="B34" s="21" t="str">
        <x:v>T6853</x:v>
      </x:c>
      <x:c r="C34" s="21" t="str">
        <x:v>GSK591</x:v>
      </x:c>
      <x:c r="D34" s="21" t="str">
        <x:v>HCT116</x:v>
      </x:c>
      <x:c r="E34" s="21" t="n">
        <x:v>2</x:v>
      </x:c>
      <x:c r="F34" s="21" t="str">
        <x:v>HCT-116 2</x:v>
      </x:c>
      <x:c r="G34" s="21" t="str">
        <x:v>normalization_reference</x:v>
      </x:c>
      <x:c r="H34" s="21" t="n">
        <x:v>3</x:v>
      </x:c>
      <x:c r="I34" s="22" t="n">
        <x:v>1.3525</x:v>
      </x:c>
    </x:row>
    <x:row r="35">
      <x:c r="A35" s="20" t="str">
        <x:v>M4</x:v>
      </x:c>
      <x:c r="B35" s="21" t="str">
        <x:v>T6853</x:v>
      </x:c>
      <x:c r="C35" s="21" t="str">
        <x:v>GSK591</x:v>
      </x:c>
      <x:c r="D35" s="21" t="str">
        <x:v>HCT116</x:v>
      </x:c>
      <x:c r="E35" s="21" t="n">
        <x:v>2</x:v>
      </x:c>
      <x:c r="F35" s="21" t="str">
        <x:v>HCT-116 2</x:v>
      </x:c>
      <x:c r="G35" s="21" t="str">
        <x:v>blank</x:v>
      </x:c>
      <x:c r="H35" s="21" t="n">
        <x:v>1</x:v>
      </x:c>
      <x:c r="I35" s="22" t="n">
        <x:v>0.2909</x:v>
      </x:c>
    </x:row>
    <x:row r="36">
      <x:c r="A36" s="20" t="str">
        <x:v>M4</x:v>
      </x:c>
      <x:c r="B36" s="21" t="str">
        <x:v>T6853</x:v>
      </x:c>
      <x:c r="C36" s="21" t="str">
        <x:v>GSK591</x:v>
      </x:c>
      <x:c r="D36" s="21" t="str">
        <x:v>HCT116</x:v>
      </x:c>
      <x:c r="E36" s="21" t="n">
        <x:v>2</x:v>
      </x:c>
      <x:c r="F36" s="21" t="str">
        <x:v>HCT-116 2</x:v>
      </x:c>
      <x:c r="G36" s="21" t="str">
        <x:v>blank</x:v>
      </x:c>
      <x:c r="H36" s="21" t="n">
        <x:v>2</x:v>
      </x:c>
      <x:c r="I36" s="22" t="n">
        <x:v>0.2863</x:v>
      </x:c>
    </x:row>
    <x:row r="37">
      <x:c r="A37" s="20" t="str">
        <x:v>M4</x:v>
      </x:c>
      <x:c r="B37" s="21" t="str">
        <x:v>T6853</x:v>
      </x:c>
      <x:c r="C37" s="21" t="str">
        <x:v>GSK591</x:v>
      </x:c>
      <x:c r="D37" s="21" t="str">
        <x:v>HCT116</x:v>
      </x:c>
      <x:c r="E37" s="21" t="n">
        <x:v>2</x:v>
      </x:c>
      <x:c r="F37" s="21" t="str">
        <x:v>HCT-116 2</x:v>
      </x:c>
      <x:c r="G37" s="21" t="str">
        <x:v>blank</x:v>
      </x:c>
      <x:c r="H37" s="21" t="n">
        <x:v>3</x:v>
      </x:c>
      <x:c r="I37" s="22" t="n">
        <x:v>0.2938</x:v>
      </x:c>
    </x:row>
    <x:row r="38">
      <x:c r="A38" s="20" t="str">
        <x:v>M5</x:v>
      </x:c>
      <x:c r="B38" s="21" t="str">
        <x:v>T6980</x:v>
      </x:c>
      <x:c r="C38" s="21" t="str">
        <x:v>Scriptaid</x:v>
      </x:c>
      <x:c r="D38" s="21" t="str">
        <x:v>HCT116</x:v>
      </x:c>
      <x:c r="E38" s="21" t="n">
        <x:v>2</x:v>
      </x:c>
      <x:c r="F38" s="21" t="str">
        <x:v>HCT-116 2</x:v>
      </x:c>
      <x:c r="G38" s="21" t="str">
        <x:v>treatment</x:v>
      </x:c>
      <x:c r="H38" s="21" t="n">
        <x:v>1</x:v>
      </x:c>
      <x:c r="I38" s="22" t="n">
        <x:v>0.341</x:v>
      </x:c>
    </x:row>
    <x:row r="39">
      <x:c r="A39" s="20" t="str">
        <x:v>M5</x:v>
      </x:c>
      <x:c r="B39" s="21" t="str">
        <x:v>T6980</x:v>
      </x:c>
      <x:c r="C39" s="21" t="str">
        <x:v>Scriptaid</x:v>
      </x:c>
      <x:c r="D39" s="21" t="str">
        <x:v>HCT116</x:v>
      </x:c>
      <x:c r="E39" s="21" t="n">
        <x:v>2</x:v>
      </x:c>
      <x:c r="F39" s="21" t="str">
        <x:v>HCT-116 2</x:v>
      </x:c>
      <x:c r="G39" s="21" t="str">
        <x:v>treatment</x:v>
      </x:c>
      <x:c r="H39" s="21" t="n">
        <x:v>2</x:v>
      </x:c>
      <x:c r="I39" s="22" t="n">
        <x:v>0.2965</x:v>
      </x:c>
    </x:row>
    <x:row r="40">
      <x:c r="A40" s="20" t="str">
        <x:v>M5</x:v>
      </x:c>
      <x:c r="B40" s="21" t="str">
        <x:v>T6980</x:v>
      </x:c>
      <x:c r="C40" s="21" t="str">
        <x:v>Scriptaid</x:v>
      </x:c>
      <x:c r="D40" s="21" t="str">
        <x:v>HCT116</x:v>
      </x:c>
      <x:c r="E40" s="21" t="n">
        <x:v>2</x:v>
      </x:c>
      <x:c r="F40" s="21" t="str">
        <x:v>HCT-116 2</x:v>
      </x:c>
      <x:c r="G40" s="21" t="str">
        <x:v>treatment</x:v>
      </x:c>
      <x:c r="H40" s="21" t="n">
        <x:v>3</x:v>
      </x:c>
      <x:c r="I40" s="22" t="n">
        <x:v>0.2744</x:v>
      </x:c>
    </x:row>
    <x:row r="41">
      <x:c r="A41" s="20" t="str">
        <x:v>M5</x:v>
      </x:c>
      <x:c r="B41" s="21" t="str">
        <x:v>T6980</x:v>
      </x:c>
      <x:c r="C41" s="21" t="str">
        <x:v>Scriptaid</x:v>
      </x:c>
      <x:c r="D41" s="21" t="str">
        <x:v>HCT116</x:v>
      </x:c>
      <x:c r="E41" s="21" t="n">
        <x:v>2</x:v>
      </x:c>
      <x:c r="F41" s="21" t="str">
        <x:v>HCT-116 2</x:v>
      </x:c>
      <x:c r="G41" s="21" t="str">
        <x:v>normalization_reference</x:v>
      </x:c>
      <x:c r="H41" s="21" t="n">
        <x:v>1</x:v>
      </x:c>
      <x:c r="I41" s="22" t="n">
        <x:v>1.2811</x:v>
      </x:c>
    </x:row>
    <x:row r="42">
      <x:c r="A42" s="20" t="str">
        <x:v>M5</x:v>
      </x:c>
      <x:c r="B42" s="21" t="str">
        <x:v>T6980</x:v>
      </x:c>
      <x:c r="C42" s="21" t="str">
        <x:v>Scriptaid</x:v>
      </x:c>
      <x:c r="D42" s="21" t="str">
        <x:v>HCT116</x:v>
      </x:c>
      <x:c r="E42" s="21" t="n">
        <x:v>2</x:v>
      </x:c>
      <x:c r="F42" s="21" t="str">
        <x:v>HCT-116 2</x:v>
      </x:c>
      <x:c r="G42" s="21" t="str">
        <x:v>normalization_reference</x:v>
      </x:c>
      <x:c r="H42" s="21" t="n">
        <x:v>2</x:v>
      </x:c>
      <x:c r="I42" s="22" t="n">
        <x:v>1.4958</x:v>
      </x:c>
    </x:row>
    <x:row r="43">
      <x:c r="A43" s="20" t="str">
        <x:v>M5</x:v>
      </x:c>
      <x:c r="B43" s="21" t="str">
        <x:v>T6980</x:v>
      </x:c>
      <x:c r="C43" s="21" t="str">
        <x:v>Scriptaid</x:v>
      </x:c>
      <x:c r="D43" s="21" t="str">
        <x:v>HCT116</x:v>
      </x:c>
      <x:c r="E43" s="21" t="n">
        <x:v>2</x:v>
      </x:c>
      <x:c r="F43" s="21" t="str">
        <x:v>HCT-116 2</x:v>
      </x:c>
      <x:c r="G43" s="21" t="str">
        <x:v>normalization_reference</x:v>
      </x:c>
      <x:c r="H43" s="21" t="n">
        <x:v>3</x:v>
      </x:c>
      <x:c r="I43" s="22" t="n">
        <x:v>1.3525</x:v>
      </x:c>
    </x:row>
    <x:row r="44">
      <x:c r="A44" s="20" t="str">
        <x:v>M5</x:v>
      </x:c>
      <x:c r="B44" s="21" t="str">
        <x:v>T6980</x:v>
      </x:c>
      <x:c r="C44" s="21" t="str">
        <x:v>Scriptaid</x:v>
      </x:c>
      <x:c r="D44" s="21" t="str">
        <x:v>HCT116</x:v>
      </x:c>
      <x:c r="E44" s="21" t="n">
        <x:v>2</x:v>
      </x:c>
      <x:c r="F44" s="21" t="str">
        <x:v>HCT-116 2</x:v>
      </x:c>
      <x:c r="G44" s="21" t="str">
        <x:v>blank</x:v>
      </x:c>
      <x:c r="H44" s="21" t="n">
        <x:v>1</x:v>
      </x:c>
      <x:c r="I44" s="22" t="n">
        <x:v>0.2909</x:v>
      </x:c>
    </x:row>
    <x:row r="45">
      <x:c r="A45" s="20" t="str">
        <x:v>M5</x:v>
      </x:c>
      <x:c r="B45" s="21" t="str">
        <x:v>T6980</x:v>
      </x:c>
      <x:c r="C45" s="21" t="str">
        <x:v>Scriptaid</x:v>
      </x:c>
      <x:c r="D45" s="21" t="str">
        <x:v>HCT116</x:v>
      </x:c>
      <x:c r="E45" s="21" t="n">
        <x:v>2</x:v>
      </x:c>
      <x:c r="F45" s="21" t="str">
        <x:v>HCT-116 2</x:v>
      </x:c>
      <x:c r="G45" s="21" t="str">
        <x:v>blank</x:v>
      </x:c>
      <x:c r="H45" s="21" t="n">
        <x:v>2</x:v>
      </x:c>
      <x:c r="I45" s="22" t="n">
        <x:v>0.2863</x:v>
      </x:c>
    </x:row>
    <x:row r="46">
      <x:c r="A46" s="20" t="str">
        <x:v>M5</x:v>
      </x:c>
      <x:c r="B46" s="21" t="str">
        <x:v>T6980</x:v>
      </x:c>
      <x:c r="C46" s="21" t="str">
        <x:v>Scriptaid</x:v>
      </x:c>
      <x:c r="D46" s="21" t="str">
        <x:v>HCT116</x:v>
      </x:c>
      <x:c r="E46" s="21" t="n">
        <x:v>2</x:v>
      </x:c>
      <x:c r="F46" s="21" t="str">
        <x:v>HCT-116 2</x:v>
      </x:c>
      <x:c r="G46" s="21" t="str">
        <x:v>blank</x:v>
      </x:c>
      <x:c r="H46" s="21" t="n">
        <x:v>3</x:v>
      </x:c>
      <x:c r="I46" s="22" t="n">
        <x:v>0.2938</x:v>
      </x:c>
    </x:row>
    <x:row r="47">
      <x:c r="A47" s="20" t="str">
        <x:v>M6</x:v>
      </x:c>
      <x:c r="B47" s="21" t="str">
        <x:v>T60904</x:v>
      </x:c>
      <x:c r="C47" s="21" t="str">
        <x:v>ERCC1-XPF-IN-2</x:v>
      </x:c>
      <x:c r="D47" s="21" t="str">
        <x:v>HCT116</x:v>
      </x:c>
      <x:c r="E47" s="21" t="n">
        <x:v>2</x:v>
      </x:c>
      <x:c r="F47" s="21" t="str">
        <x:v>HCT-116 2</x:v>
      </x:c>
      <x:c r="G47" s="21" t="str">
        <x:v>treatment</x:v>
      </x:c>
      <x:c r="H47" s="21" t="n">
        <x:v>1</x:v>
      </x:c>
      <x:c r="I47" s="22" t="n">
        <x:v>1.4253</x:v>
      </x:c>
    </x:row>
    <x:row r="48">
      <x:c r="A48" s="20" t="str">
        <x:v>M6</x:v>
      </x:c>
      <x:c r="B48" s="21" t="str">
        <x:v>T60904</x:v>
      </x:c>
      <x:c r="C48" s="21" t="str">
        <x:v>ERCC1-XPF-IN-2</x:v>
      </x:c>
      <x:c r="D48" s="21" t="str">
        <x:v>HCT116</x:v>
      </x:c>
      <x:c r="E48" s="21" t="n">
        <x:v>2</x:v>
      </x:c>
      <x:c r="F48" s="21" t="str">
        <x:v>HCT-116 2</x:v>
      </x:c>
      <x:c r="G48" s="21" t="str">
        <x:v>treatment</x:v>
      </x:c>
      <x:c r="H48" s="21" t="n">
        <x:v>2</x:v>
      </x:c>
      <x:c r="I48" s="22" t="n">
        <x:v>1.573</x:v>
      </x:c>
    </x:row>
    <x:row r="49">
      <x:c r="A49" s="20" t="str">
        <x:v>M6</x:v>
      </x:c>
      <x:c r="B49" s="21" t="str">
        <x:v>T60904</x:v>
      </x:c>
      <x:c r="C49" s="21" t="str">
        <x:v>ERCC1-XPF-IN-2</x:v>
      </x:c>
      <x:c r="D49" s="21" t="str">
        <x:v>HCT116</x:v>
      </x:c>
      <x:c r="E49" s="21" t="n">
        <x:v>2</x:v>
      </x:c>
      <x:c r="F49" s="21" t="str">
        <x:v>HCT-116 2</x:v>
      </x:c>
      <x:c r="G49" s="21" t="str">
        <x:v>treatment</x:v>
      </x:c>
      <x:c r="H49" s="21" t="n">
        <x:v>3</x:v>
      </x:c>
      <x:c r="I49" s="22" t="n">
        <x:v>1.6596</x:v>
      </x:c>
    </x:row>
    <x:row r="50">
      <x:c r="A50" s="20" t="str">
        <x:v>M6</x:v>
      </x:c>
      <x:c r="B50" s="21" t="str">
        <x:v>T60904</x:v>
      </x:c>
      <x:c r="C50" s="21" t="str">
        <x:v>ERCC1-XPF-IN-2</x:v>
      </x:c>
      <x:c r="D50" s="21" t="str">
        <x:v>HCT116</x:v>
      </x:c>
      <x:c r="E50" s="21" t="n">
        <x:v>2</x:v>
      </x:c>
      <x:c r="F50" s="21" t="str">
        <x:v>HCT-116 2</x:v>
      </x:c>
      <x:c r="G50" s="21" t="str">
        <x:v>normalization_reference</x:v>
      </x:c>
      <x:c r="H50" s="21" t="n">
        <x:v>1</x:v>
      </x:c>
      <x:c r="I50" s="22" t="n">
        <x:v>1.2811</x:v>
      </x:c>
    </x:row>
    <x:row r="51">
      <x:c r="A51" s="20" t="str">
        <x:v>M6</x:v>
      </x:c>
      <x:c r="B51" s="21" t="str">
        <x:v>T60904</x:v>
      </x:c>
      <x:c r="C51" s="21" t="str">
        <x:v>ERCC1-XPF-IN-2</x:v>
      </x:c>
      <x:c r="D51" s="21" t="str">
        <x:v>HCT116</x:v>
      </x:c>
      <x:c r="E51" s="21" t="n">
        <x:v>2</x:v>
      </x:c>
      <x:c r="F51" s="21" t="str">
        <x:v>HCT-116 2</x:v>
      </x:c>
      <x:c r="G51" s="21" t="str">
        <x:v>normalization_reference</x:v>
      </x:c>
      <x:c r="H51" s="21" t="n">
        <x:v>2</x:v>
      </x:c>
      <x:c r="I51" s="22" t="n">
        <x:v>1.4958</x:v>
      </x:c>
    </x:row>
    <x:row r="52">
      <x:c r="A52" s="20" t="str">
        <x:v>M6</x:v>
      </x:c>
      <x:c r="B52" s="21" t="str">
        <x:v>T60904</x:v>
      </x:c>
      <x:c r="C52" s="21" t="str">
        <x:v>ERCC1-XPF-IN-2</x:v>
      </x:c>
      <x:c r="D52" s="21" t="str">
        <x:v>HCT116</x:v>
      </x:c>
      <x:c r="E52" s="21" t="n">
        <x:v>2</x:v>
      </x:c>
      <x:c r="F52" s="21" t="str">
        <x:v>HCT-116 2</x:v>
      </x:c>
      <x:c r="G52" s="21" t="str">
        <x:v>normalization_reference</x:v>
      </x:c>
      <x:c r="H52" s="21" t="n">
        <x:v>3</x:v>
      </x:c>
      <x:c r="I52" s="22" t="n">
        <x:v>1.3525</x:v>
      </x:c>
    </x:row>
    <x:row r="53">
      <x:c r="A53" s="20" t="str">
        <x:v>M6</x:v>
      </x:c>
      <x:c r="B53" s="21" t="str">
        <x:v>T60904</x:v>
      </x:c>
      <x:c r="C53" s="21" t="str">
        <x:v>ERCC1-XPF-IN-2</x:v>
      </x:c>
      <x:c r="D53" s="21" t="str">
        <x:v>HCT116</x:v>
      </x:c>
      <x:c r="E53" s="21" t="n">
        <x:v>2</x:v>
      </x:c>
      <x:c r="F53" s="21" t="str">
        <x:v>HCT-116 2</x:v>
      </x:c>
      <x:c r="G53" s="21" t="str">
        <x:v>blank</x:v>
      </x:c>
      <x:c r="H53" s="21" t="n">
        <x:v>1</x:v>
      </x:c>
      <x:c r="I53" s="22" t="n">
        <x:v>0.2909</x:v>
      </x:c>
    </x:row>
    <x:row r="54">
      <x:c r="A54" s="20" t="str">
        <x:v>M6</x:v>
      </x:c>
      <x:c r="B54" s="21" t="str">
        <x:v>T60904</x:v>
      </x:c>
      <x:c r="C54" s="21" t="str">
        <x:v>ERCC1-XPF-IN-2</x:v>
      </x:c>
      <x:c r="D54" s="21" t="str">
        <x:v>HCT116</x:v>
      </x:c>
      <x:c r="E54" s="21" t="n">
        <x:v>2</x:v>
      </x:c>
      <x:c r="F54" s="21" t="str">
        <x:v>HCT-116 2</x:v>
      </x:c>
      <x:c r="G54" s="21" t="str">
        <x:v>blank</x:v>
      </x:c>
      <x:c r="H54" s="21" t="n">
        <x:v>2</x:v>
      </x:c>
      <x:c r="I54" s="22" t="n">
        <x:v>0.2863</x:v>
      </x:c>
    </x:row>
    <x:row r="55">
      <x:c r="A55" s="20" t="str">
        <x:v>M6</x:v>
      </x:c>
      <x:c r="B55" s="21" t="str">
        <x:v>T60904</x:v>
      </x:c>
      <x:c r="C55" s="21" t="str">
        <x:v>ERCC1-XPF-IN-2</x:v>
      </x:c>
      <x:c r="D55" s="21" t="str">
        <x:v>HCT116</x:v>
      </x:c>
      <x:c r="E55" s="21" t="n">
        <x:v>2</x:v>
      </x:c>
      <x:c r="F55" s="21" t="str">
        <x:v>HCT-116 2</x:v>
      </x:c>
      <x:c r="G55" s="21" t="str">
        <x:v>blank</x:v>
      </x:c>
      <x:c r="H55" s="21" t="n">
        <x:v>3</x:v>
      </x:c>
      <x:c r="I55" s="22" t="n">
        <x:v>0.2938</x:v>
      </x:c>
    </x:row>
    <x:row r="56">
      <x:c r="A56" s="20" t="str">
        <x:v>M1</x:v>
      </x:c>
      <x:c r="B56" s="21" t="str">
        <x:v>T9335</x:v>
      </x:c>
      <x:c r="C56" s="21" t="str">
        <x:v>1,1'-Methylenedi-2-naphthol</x:v>
      </x:c>
      <x:c r="D56" s="21" t="str">
        <x:v>SW620</x:v>
      </x:c>
      <x:c r="E56" s="21" t="n">
        <x:v>1</x:v>
      </x:c>
      <x:c r="F56" s="21" t="str">
        <x:v>SW620 1</x:v>
      </x:c>
      <x:c r="G56" s="21" t="str">
        <x:v>treatment</x:v>
      </x:c>
      <x:c r="H56" s="21" t="n">
        <x:v>1</x:v>
      </x:c>
      <x:c r="I56" s="22" t="n">
        <x:v>0.9033</x:v>
      </x:c>
    </x:row>
    <x:row r="57">
      <x:c r="A57" s="20" t="str">
        <x:v>M1</x:v>
      </x:c>
      <x:c r="B57" s="21" t="str">
        <x:v>T9335</x:v>
      </x:c>
      <x:c r="C57" s="21" t="str">
        <x:v>1,1'-Methylenedi-2-naphthol</x:v>
      </x:c>
      <x:c r="D57" s="21" t="str">
        <x:v>SW620</x:v>
      </x:c>
      <x:c r="E57" s="21" t="n">
        <x:v>1</x:v>
      </x:c>
      <x:c r="F57" s="21" t="str">
        <x:v>SW620 1</x:v>
      </x:c>
      <x:c r="G57" s="21" t="str">
        <x:v>treatment</x:v>
      </x:c>
      <x:c r="H57" s="21" t="n">
        <x:v>2</x:v>
      </x:c>
      <x:c r="I57" s="22" t="n">
        <x:v>0.8898</x:v>
      </x:c>
    </x:row>
    <x:row r="58">
      <x:c r="A58" s="20" t="str">
        <x:v>M1</x:v>
      </x:c>
      <x:c r="B58" s="21" t="str">
        <x:v>T9335</x:v>
      </x:c>
      <x:c r="C58" s="21" t="str">
        <x:v>1,1'-Methylenedi-2-naphthol</x:v>
      </x:c>
      <x:c r="D58" s="21" t="str">
        <x:v>SW620</x:v>
      </x:c>
      <x:c r="E58" s="21" t="n">
        <x:v>1</x:v>
      </x:c>
      <x:c r="F58" s="21" t="str">
        <x:v>SW620 1</x:v>
      </x:c>
      <x:c r="G58" s="21" t="str">
        <x:v>treatment</x:v>
      </x:c>
      <x:c r="H58" s="21" t="n">
        <x:v>3</x:v>
      </x:c>
      <x:c r="I58" s="22" t="n">
        <x:v>0.8327</x:v>
      </x:c>
    </x:row>
    <x:row r="59">
      <x:c r="A59" s="20" t="str">
        <x:v>M1</x:v>
      </x:c>
      <x:c r="B59" s="21" t="str">
        <x:v>T9335</x:v>
      </x:c>
      <x:c r="C59" s="21" t="str">
        <x:v>1,1'-Methylenedi-2-naphthol</x:v>
      </x:c>
      <x:c r="D59" s="21" t="str">
        <x:v>SW620</x:v>
      </x:c>
      <x:c r="E59" s="21" t="n">
        <x:v>1</x:v>
      </x:c>
      <x:c r="F59" s="21" t="str">
        <x:v>SW620 1</x:v>
      </x:c>
      <x:c r="G59" s="21" t="str">
        <x:v>normalization_reference</x:v>
      </x:c>
      <x:c r="H59" s="21" t="n">
        <x:v>1</x:v>
      </x:c>
      <x:c r="I59" s="22" t="n">
        <x:v>1.229</x:v>
      </x:c>
    </x:row>
    <x:row r="60">
      <x:c r="A60" s="20" t="str">
        <x:v>M1</x:v>
      </x:c>
      <x:c r="B60" s="21" t="str">
        <x:v>T9335</x:v>
      </x:c>
      <x:c r="C60" s="21" t="str">
        <x:v>1,1'-Methylenedi-2-naphthol</x:v>
      </x:c>
      <x:c r="D60" s="21" t="str">
        <x:v>SW620</x:v>
      </x:c>
      <x:c r="E60" s="21" t="n">
        <x:v>1</x:v>
      </x:c>
      <x:c r="F60" s="21" t="str">
        <x:v>SW620 1</x:v>
      </x:c>
      <x:c r="G60" s="21" t="str">
        <x:v>normalization_reference</x:v>
      </x:c>
      <x:c r="H60" s="21" t="n">
        <x:v>2</x:v>
      </x:c>
      <x:c r="I60" s="22" t="n">
        <x:v>1.2153</x:v>
      </x:c>
    </x:row>
    <x:row r="61">
      <x:c r="A61" s="20" t="str">
        <x:v>M1</x:v>
      </x:c>
      <x:c r="B61" s="21" t="str">
        <x:v>T9335</x:v>
      </x:c>
      <x:c r="C61" s="21" t="str">
        <x:v>1,1'-Methylenedi-2-naphthol</x:v>
      </x:c>
      <x:c r="D61" s="21" t="str">
        <x:v>SW620</x:v>
      </x:c>
      <x:c r="E61" s="21" t="n">
        <x:v>1</x:v>
      </x:c>
      <x:c r="F61" s="21" t="str">
        <x:v>SW620 1</x:v>
      </x:c>
      <x:c r="G61" s="21" t="str">
        <x:v>normalization_reference</x:v>
      </x:c>
      <x:c r="H61" s="21" t="n">
        <x:v>3</x:v>
      </x:c>
      <x:c r="I61" s="22" t="n">
        <x:v>1.2545</x:v>
      </x:c>
    </x:row>
    <x:row r="62">
      <x:c r="A62" s="20" t="str">
        <x:v>M1</x:v>
      </x:c>
      <x:c r="B62" s="21" t="str">
        <x:v>T9335</x:v>
      </x:c>
      <x:c r="C62" s="21" t="str">
        <x:v>1,1'-Methylenedi-2-naphthol</x:v>
      </x:c>
      <x:c r="D62" s="21" t="str">
        <x:v>SW620</x:v>
      </x:c>
      <x:c r="E62" s="21" t="n">
        <x:v>1</x:v>
      </x:c>
      <x:c r="F62" s="21" t="str">
        <x:v>SW620 1</x:v>
      </x:c>
      <x:c r="G62" s="21" t="str">
        <x:v>blank</x:v>
      </x:c>
      <x:c r="H62" s="21" t="n">
        <x:v>1</x:v>
      </x:c>
      <x:c r="I62" s="22" t="n">
        <x:v>0.3841</x:v>
      </x:c>
    </x:row>
    <x:row r="63">
      <x:c r="A63" s="20" t="str">
        <x:v>M1</x:v>
      </x:c>
      <x:c r="B63" s="21" t="str">
        <x:v>T9335</x:v>
      </x:c>
      <x:c r="C63" s="21" t="str">
        <x:v>1,1'-Methylenedi-2-naphthol</x:v>
      </x:c>
      <x:c r="D63" s="21" t="str">
        <x:v>SW620</x:v>
      </x:c>
      <x:c r="E63" s="21" t="n">
        <x:v>1</x:v>
      </x:c>
      <x:c r="F63" s="21" t="str">
        <x:v>SW620 1</x:v>
      </x:c>
      <x:c r="G63" s="21" t="str">
        <x:v>blank</x:v>
      </x:c>
      <x:c r="H63" s="21" t="n">
        <x:v>2</x:v>
      </x:c>
      <x:c r="I63" s="22" t="n">
        <x:v>0.3693</x:v>
      </x:c>
    </x:row>
    <x:row r="64">
      <x:c r="A64" s="20" t="str">
        <x:v>M1</x:v>
      </x:c>
      <x:c r="B64" s="21" t="str">
        <x:v>T9335</x:v>
      </x:c>
      <x:c r="C64" s="21" t="str">
        <x:v>1,1'-Methylenedi-2-naphthol</x:v>
      </x:c>
      <x:c r="D64" s="21" t="str">
        <x:v>SW620</x:v>
      </x:c>
      <x:c r="E64" s="21" t="n">
        <x:v>1</x:v>
      </x:c>
      <x:c r="F64" s="21" t="str">
        <x:v>SW620 1</x:v>
      </x:c>
      <x:c r="G64" s="21" t="str">
        <x:v>blank</x:v>
      </x:c>
      <x:c r="H64" s="21" t="n">
        <x:v>3</x:v>
      </x:c>
      <x:c r="I64" s="22" t="n">
        <x:v>0.372</x:v>
      </x:c>
    </x:row>
    <x:row r="65">
      <x:c r="A65" s="20" t="str">
        <x:v>M2</x:v>
      </x:c>
      <x:c r="B65" s="21" t="str">
        <x:v>T61189</x:v>
      </x:c>
      <x:c r="C65" s="21" t="str">
        <x:v>E7016</x:v>
      </x:c>
      <x:c r="D65" s="21" t="str">
        <x:v>SW620</x:v>
      </x:c>
      <x:c r="E65" s="21" t="n">
        <x:v>1</x:v>
      </x:c>
      <x:c r="F65" s="21" t="str">
        <x:v>SW620 1</x:v>
      </x:c>
      <x:c r="G65" s="21" t="str">
        <x:v>treatment</x:v>
      </x:c>
      <x:c r="H65" s="21" t="n">
        <x:v>1</x:v>
      </x:c>
      <x:c r="I65" s="22" t="n">
        <x:v>0.9539</x:v>
      </x:c>
    </x:row>
    <x:row r="66">
      <x:c r="A66" s="20" t="str">
        <x:v>M2</x:v>
      </x:c>
      <x:c r="B66" s="21" t="str">
        <x:v>T61189</x:v>
      </x:c>
      <x:c r="C66" s="21" t="str">
        <x:v>E7016</x:v>
      </x:c>
      <x:c r="D66" s="21" t="str">
        <x:v>SW620</x:v>
      </x:c>
      <x:c r="E66" s="21" t="n">
        <x:v>1</x:v>
      </x:c>
      <x:c r="F66" s="21" t="str">
        <x:v>SW620 1</x:v>
      </x:c>
      <x:c r="G66" s="21" t="str">
        <x:v>treatment</x:v>
      </x:c>
      <x:c r="H66" s="21" t="n">
        <x:v>2</x:v>
      </x:c>
      <x:c r="I66" s="22" t="n">
        <x:v>1.1093</x:v>
      </x:c>
    </x:row>
    <x:row r="67">
      <x:c r="A67" s="20" t="str">
        <x:v>M2</x:v>
      </x:c>
      <x:c r="B67" s="21" t="str">
        <x:v>T61189</x:v>
      </x:c>
      <x:c r="C67" s="21" t="str">
        <x:v>E7016</x:v>
      </x:c>
      <x:c r="D67" s="21" t="str">
        <x:v>SW620</x:v>
      </x:c>
      <x:c r="E67" s="21" t="n">
        <x:v>1</x:v>
      </x:c>
      <x:c r="F67" s="21" t="str">
        <x:v>SW620 1</x:v>
      </x:c>
      <x:c r="G67" s="21" t="str">
        <x:v>treatment</x:v>
      </x:c>
      <x:c r="H67" s="21" t="n">
        <x:v>3</x:v>
      </x:c>
      <x:c r="I67" s="22" t="n">
        <x:v>1.0469</x:v>
      </x:c>
    </x:row>
    <x:row r="68">
      <x:c r="A68" s="20" t="str">
        <x:v>M2</x:v>
      </x:c>
      <x:c r="B68" s="21" t="str">
        <x:v>T61189</x:v>
      </x:c>
      <x:c r="C68" s="21" t="str">
        <x:v>E7016</x:v>
      </x:c>
      <x:c r="D68" s="21" t="str">
        <x:v>SW620</x:v>
      </x:c>
      <x:c r="E68" s="21" t="n">
        <x:v>1</x:v>
      </x:c>
      <x:c r="F68" s="21" t="str">
        <x:v>SW620 1</x:v>
      </x:c>
      <x:c r="G68" s="21" t="str">
        <x:v>normalization_reference</x:v>
      </x:c>
      <x:c r="H68" s="21" t="n">
        <x:v>1</x:v>
      </x:c>
      <x:c r="I68" s="22" t="n">
        <x:v>1.229</x:v>
      </x:c>
    </x:row>
    <x:row r="69">
      <x:c r="A69" s="20" t="str">
        <x:v>M2</x:v>
      </x:c>
      <x:c r="B69" s="21" t="str">
        <x:v>T61189</x:v>
      </x:c>
      <x:c r="C69" s="21" t="str">
        <x:v>E7016</x:v>
      </x:c>
      <x:c r="D69" s="21" t="str">
        <x:v>SW620</x:v>
      </x:c>
      <x:c r="E69" s="21" t="n">
        <x:v>1</x:v>
      </x:c>
      <x:c r="F69" s="21" t="str">
        <x:v>SW620 1</x:v>
      </x:c>
      <x:c r="G69" s="21" t="str">
        <x:v>normalization_reference</x:v>
      </x:c>
      <x:c r="H69" s="21" t="n">
        <x:v>2</x:v>
      </x:c>
      <x:c r="I69" s="22" t="n">
        <x:v>1.2153</x:v>
      </x:c>
    </x:row>
    <x:row r="70">
      <x:c r="A70" s="20" t="str">
        <x:v>M2</x:v>
      </x:c>
      <x:c r="B70" s="21" t="str">
        <x:v>T61189</x:v>
      </x:c>
      <x:c r="C70" s="21" t="str">
        <x:v>E7016</x:v>
      </x:c>
      <x:c r="D70" s="21" t="str">
        <x:v>SW620</x:v>
      </x:c>
      <x:c r="E70" s="21" t="n">
        <x:v>1</x:v>
      </x:c>
      <x:c r="F70" s="21" t="str">
        <x:v>SW620 1</x:v>
      </x:c>
      <x:c r="G70" s="21" t="str">
        <x:v>normalization_reference</x:v>
      </x:c>
      <x:c r="H70" s="21" t="n">
        <x:v>3</x:v>
      </x:c>
      <x:c r="I70" s="22" t="n">
        <x:v>1.2545</x:v>
      </x:c>
    </x:row>
    <x:row r="71">
      <x:c r="A71" s="20" t="str">
        <x:v>M2</x:v>
      </x:c>
      <x:c r="B71" s="21" t="str">
        <x:v>T61189</x:v>
      </x:c>
      <x:c r="C71" s="21" t="str">
        <x:v>E7016</x:v>
      </x:c>
      <x:c r="D71" s="21" t="str">
        <x:v>SW620</x:v>
      </x:c>
      <x:c r="E71" s="21" t="n">
        <x:v>1</x:v>
      </x:c>
      <x:c r="F71" s="21" t="str">
        <x:v>SW620 1</x:v>
      </x:c>
      <x:c r="G71" s="21" t="str">
        <x:v>blank</x:v>
      </x:c>
      <x:c r="H71" s="21" t="n">
        <x:v>1</x:v>
      </x:c>
      <x:c r="I71" s="22" t="n">
        <x:v>0.3841</x:v>
      </x:c>
    </x:row>
    <x:row r="72">
      <x:c r="A72" s="20" t="str">
        <x:v>M2</x:v>
      </x:c>
      <x:c r="B72" s="21" t="str">
        <x:v>T61189</x:v>
      </x:c>
      <x:c r="C72" s="21" t="str">
        <x:v>E7016</x:v>
      </x:c>
      <x:c r="D72" s="21" t="str">
        <x:v>SW620</x:v>
      </x:c>
      <x:c r="E72" s="21" t="n">
        <x:v>1</x:v>
      </x:c>
      <x:c r="F72" s="21" t="str">
        <x:v>SW620 1</x:v>
      </x:c>
      <x:c r="G72" s="21" t="str">
        <x:v>blank</x:v>
      </x:c>
      <x:c r="H72" s="21" t="n">
        <x:v>2</x:v>
      </x:c>
      <x:c r="I72" s="22" t="n">
        <x:v>0.3693</x:v>
      </x:c>
    </x:row>
    <x:row r="73">
      <x:c r="A73" s="20" t="str">
        <x:v>M2</x:v>
      </x:c>
      <x:c r="B73" s="21" t="str">
        <x:v>T61189</x:v>
      </x:c>
      <x:c r="C73" s="21" t="str">
        <x:v>E7016</x:v>
      </x:c>
      <x:c r="D73" s="21" t="str">
        <x:v>SW620</x:v>
      </x:c>
      <x:c r="E73" s="21" t="n">
        <x:v>1</x:v>
      </x:c>
      <x:c r="F73" s="21" t="str">
        <x:v>SW620 1</x:v>
      </x:c>
      <x:c r="G73" s="21" t="str">
        <x:v>blank</x:v>
      </x:c>
      <x:c r="H73" s="21" t="n">
        <x:v>3</x:v>
      </x:c>
      <x:c r="I73" s="22" t="n">
        <x:v>0.372</x:v>
      </x:c>
    </x:row>
    <x:row r="74">
      <x:c r="A74" s="20" t="str">
        <x:v>M3</x:v>
      </x:c>
      <x:c r="B74" s="21" t="str">
        <x:v>T12502</x:v>
      </x:c>
      <x:c r="C74" s="21" t="str">
        <x:v>PLpro inhibitor</x:v>
      </x:c>
      <x:c r="D74" s="21" t="str">
        <x:v>SW620</x:v>
      </x:c>
      <x:c r="E74" s="21" t="n">
        <x:v>2</x:v>
      </x:c>
      <x:c r="F74" s="21" t="str">
        <x:v>SW620 2</x:v>
      </x:c>
      <x:c r="G74" s="21" t="str">
        <x:v>treatment</x:v>
      </x:c>
      <x:c r="H74" s="21" t="n">
        <x:v>1</x:v>
      </x:c>
      <x:c r="I74" s="22" t="n">
        <x:v>1.153</x:v>
      </x:c>
    </x:row>
    <x:row r="75">
      <x:c r="A75" s="20" t="str">
        <x:v>M3</x:v>
      </x:c>
      <x:c r="B75" s="21" t="str">
        <x:v>T12502</x:v>
      </x:c>
      <x:c r="C75" s="21" t="str">
        <x:v>PLpro inhibitor</x:v>
      </x:c>
      <x:c r="D75" s="21" t="str">
        <x:v>SW620</x:v>
      </x:c>
      <x:c r="E75" s="21" t="n">
        <x:v>2</x:v>
      </x:c>
      <x:c r="F75" s="21" t="str">
        <x:v>SW620 2</x:v>
      </x:c>
      <x:c r="G75" s="21" t="str">
        <x:v>treatment</x:v>
      </x:c>
      <x:c r="H75" s="21" t="n">
        <x:v>2</x:v>
      </x:c>
      <x:c r="I75" s="22" t="n">
        <x:v>1.1617</x:v>
      </x:c>
    </x:row>
    <x:row r="76">
      <x:c r="A76" s="20" t="str">
        <x:v>M3</x:v>
      </x:c>
      <x:c r="B76" s="21" t="str">
        <x:v>T12502</x:v>
      </x:c>
      <x:c r="C76" s="21" t="str">
        <x:v>PLpro inhibitor</x:v>
      </x:c>
      <x:c r="D76" s="21" t="str">
        <x:v>SW620</x:v>
      </x:c>
      <x:c r="E76" s="21" t="n">
        <x:v>2</x:v>
      </x:c>
      <x:c r="F76" s="21" t="str">
        <x:v>SW620 2</x:v>
      </x:c>
      <x:c r="G76" s="21" t="str">
        <x:v>treatment</x:v>
      </x:c>
      <x:c r="H76" s="21" t="n">
        <x:v>3</x:v>
      </x:c>
      <x:c r="I76" s="22" t="n">
        <x:v>1.1815</x:v>
      </x:c>
    </x:row>
    <x:row r="77">
      <x:c r="A77" s="20" t="str">
        <x:v>M3</x:v>
      </x:c>
      <x:c r="B77" s="21" t="str">
        <x:v>T12502</x:v>
      </x:c>
      <x:c r="C77" s="21" t="str">
        <x:v>PLpro inhibitor</x:v>
      </x:c>
      <x:c r="D77" s="21" t="str">
        <x:v>SW620</x:v>
      </x:c>
      <x:c r="E77" s="21" t="n">
        <x:v>2</x:v>
      </x:c>
      <x:c r="F77" s="21" t="str">
        <x:v>SW620 2</x:v>
      </x:c>
      <x:c r="G77" s="21" t="str">
        <x:v>normalization_reference</x:v>
      </x:c>
      <x:c r="H77" s="21" t="n">
        <x:v>1</x:v>
      </x:c>
      <x:c r="I77" s="22" t="n">
        <x:v>1.1512</x:v>
      </x:c>
    </x:row>
    <x:row r="78">
      <x:c r="A78" s="20" t="str">
        <x:v>M3</x:v>
      </x:c>
      <x:c r="B78" s="21" t="str">
        <x:v>T12502</x:v>
      </x:c>
      <x:c r="C78" s="21" t="str">
        <x:v>PLpro inhibitor</x:v>
      </x:c>
      <x:c r="D78" s="21" t="str">
        <x:v>SW620</x:v>
      </x:c>
      <x:c r="E78" s="21" t="n">
        <x:v>2</x:v>
      </x:c>
      <x:c r="F78" s="21" t="str">
        <x:v>SW620 2</x:v>
      </x:c>
      <x:c r="G78" s="21" t="str">
        <x:v>normalization_reference</x:v>
      </x:c>
      <x:c r="H78" s="21" t="n">
        <x:v>2</x:v>
      </x:c>
      <x:c r="I78" s="22" t="n">
        <x:v>1.1157</x:v>
      </x:c>
    </x:row>
    <x:row r="79">
      <x:c r="A79" s="20" t="str">
        <x:v>M3</x:v>
      </x:c>
      <x:c r="B79" s="21" t="str">
        <x:v>T12502</x:v>
      </x:c>
      <x:c r="C79" s="21" t="str">
        <x:v>PLpro inhibitor</x:v>
      </x:c>
      <x:c r="D79" s="21" t="str">
        <x:v>SW620</x:v>
      </x:c>
      <x:c r="E79" s="21" t="n">
        <x:v>2</x:v>
      </x:c>
      <x:c r="F79" s="21" t="str">
        <x:v>SW620 2</x:v>
      </x:c>
      <x:c r="G79" s="21" t="str">
        <x:v>normalization_reference</x:v>
      </x:c>
      <x:c r="H79" s="21" t="n">
        <x:v>3</x:v>
      </x:c>
      <x:c r="I79" s="22" t="n">
        <x:v>1.0809</x:v>
      </x:c>
    </x:row>
    <x:row r="80">
      <x:c r="A80" s="20" t="str">
        <x:v>M3</x:v>
      </x:c>
      <x:c r="B80" s="21" t="str">
        <x:v>T12502</x:v>
      </x:c>
      <x:c r="C80" s="21" t="str">
        <x:v>PLpro inhibitor</x:v>
      </x:c>
      <x:c r="D80" s="21" t="str">
        <x:v>SW620</x:v>
      </x:c>
      <x:c r="E80" s="21" t="n">
        <x:v>2</x:v>
      </x:c>
      <x:c r="F80" s="21" t="str">
        <x:v>SW620 2</x:v>
      </x:c>
      <x:c r="G80" s="21" t="str">
        <x:v>blank</x:v>
      </x:c>
      <x:c r="H80" s="21" t="n">
        <x:v>1</x:v>
      </x:c>
      <x:c r="I80" s="22" t="n">
        <x:v>0.4002</x:v>
      </x:c>
    </x:row>
    <x:row r="81">
      <x:c r="A81" s="20" t="str">
        <x:v>M3</x:v>
      </x:c>
      <x:c r="B81" s="21" t="str">
        <x:v>T12502</x:v>
      </x:c>
      <x:c r="C81" s="21" t="str">
        <x:v>PLpro inhibitor</x:v>
      </x:c>
      <x:c r="D81" s="21" t="str">
        <x:v>SW620</x:v>
      </x:c>
      <x:c r="E81" s="21" t="n">
        <x:v>2</x:v>
      </x:c>
      <x:c r="F81" s="21" t="str">
        <x:v>SW620 2</x:v>
      </x:c>
      <x:c r="G81" s="21" t="str">
        <x:v>blank</x:v>
      </x:c>
      <x:c r="H81" s="21" t="n">
        <x:v>2</x:v>
      </x:c>
      <x:c r="I81" s="22" t="n">
        <x:v>0.3835</x:v>
      </x:c>
    </x:row>
    <x:row r="82">
      <x:c r="A82" s="20" t="str">
        <x:v>M3</x:v>
      </x:c>
      <x:c r="B82" s="21" t="str">
        <x:v>T12502</x:v>
      </x:c>
      <x:c r="C82" s="21" t="str">
        <x:v>PLpro inhibitor</x:v>
      </x:c>
      <x:c r="D82" s="21" t="str">
        <x:v>SW620</x:v>
      </x:c>
      <x:c r="E82" s="21" t="n">
        <x:v>2</x:v>
      </x:c>
      <x:c r="F82" s="21" t="str">
        <x:v>SW620 2</x:v>
      </x:c>
      <x:c r="G82" s="21" t="str">
        <x:v>blank</x:v>
      </x:c>
      <x:c r="H82" s="21" t="n">
        <x:v>3</x:v>
      </x:c>
      <x:c r="I82" s="22" t="n">
        <x:v>0.3797</x:v>
      </x:c>
    </x:row>
    <x:row r="83">
      <x:c r="A83" s="20" t="str">
        <x:v>M4</x:v>
      </x:c>
      <x:c r="B83" s="21" t="str">
        <x:v>T6853</x:v>
      </x:c>
      <x:c r="C83" s="21" t="str">
        <x:v>GSK591</x:v>
      </x:c>
      <x:c r="D83" s="21" t="str">
        <x:v>SW620</x:v>
      </x:c>
      <x:c r="E83" s="21" t="n">
        <x:v>2</x:v>
      </x:c>
      <x:c r="F83" s="21" t="str">
        <x:v>SW620 2</x:v>
      </x:c>
      <x:c r="G83" s="21" t="str">
        <x:v>treatment</x:v>
      </x:c>
      <x:c r="H83" s="21" t="n">
        <x:v>1</x:v>
      </x:c>
      <x:c r="I83" s="22" t="n">
        <x:v>1.2218</x:v>
      </x:c>
    </x:row>
    <x:row r="84">
      <x:c r="A84" s="20" t="str">
        <x:v>M4</x:v>
      </x:c>
      <x:c r="B84" s="21" t="str">
        <x:v>T6853</x:v>
      </x:c>
      <x:c r="C84" s="21" t="str">
        <x:v>GSK591</x:v>
      </x:c>
      <x:c r="D84" s="21" t="str">
        <x:v>SW620</x:v>
      </x:c>
      <x:c r="E84" s="21" t="n">
        <x:v>2</x:v>
      </x:c>
      <x:c r="F84" s="21" t="str">
        <x:v>SW620 2</x:v>
      </x:c>
      <x:c r="G84" s="21" t="str">
        <x:v>treatment</x:v>
      </x:c>
      <x:c r="H84" s="21" t="n">
        <x:v>2</x:v>
      </x:c>
      <x:c r="I84" s="22" t="n">
        <x:v>1.1863</x:v>
      </x:c>
    </x:row>
    <x:row r="85">
      <x:c r="A85" s="20" t="str">
        <x:v>M4</x:v>
      </x:c>
      <x:c r="B85" s="21" t="str">
        <x:v>T6853</x:v>
      </x:c>
      <x:c r="C85" s="21" t="str">
        <x:v>GSK591</x:v>
      </x:c>
      <x:c r="D85" s="21" t="str">
        <x:v>SW620</x:v>
      </x:c>
      <x:c r="E85" s="21" t="n">
        <x:v>2</x:v>
      </x:c>
      <x:c r="F85" s="21" t="str">
        <x:v>SW620 2</x:v>
      </x:c>
      <x:c r="G85" s="21" t="str">
        <x:v>treatment</x:v>
      </x:c>
      <x:c r="H85" s="21" t="n">
        <x:v>3</x:v>
      </x:c>
      <x:c r="I85" s="22" t="n">
        <x:v>1.1908</x:v>
      </x:c>
    </x:row>
    <x:row r="86">
      <x:c r="A86" s="20" t="str">
        <x:v>M4</x:v>
      </x:c>
      <x:c r="B86" s="21" t="str">
        <x:v>T6853</x:v>
      </x:c>
      <x:c r="C86" s="21" t="str">
        <x:v>GSK591</x:v>
      </x:c>
      <x:c r="D86" s="21" t="str">
        <x:v>SW620</x:v>
      </x:c>
      <x:c r="E86" s="21" t="n">
        <x:v>2</x:v>
      </x:c>
      <x:c r="F86" s="21" t="str">
        <x:v>SW620 2</x:v>
      </x:c>
      <x:c r="G86" s="21" t="str">
        <x:v>normalization_reference</x:v>
      </x:c>
      <x:c r="H86" s="21" t="n">
        <x:v>1</x:v>
      </x:c>
      <x:c r="I86" s="22" t="n">
        <x:v>1.1512</x:v>
      </x:c>
    </x:row>
    <x:row r="87">
      <x:c r="A87" s="20" t="str">
        <x:v>M4</x:v>
      </x:c>
      <x:c r="B87" s="21" t="str">
        <x:v>T6853</x:v>
      </x:c>
      <x:c r="C87" s="21" t="str">
        <x:v>GSK591</x:v>
      </x:c>
      <x:c r="D87" s="21" t="str">
        <x:v>SW620</x:v>
      </x:c>
      <x:c r="E87" s="21" t="n">
        <x:v>2</x:v>
      </x:c>
      <x:c r="F87" s="21" t="str">
        <x:v>SW620 2</x:v>
      </x:c>
      <x:c r="G87" s="21" t="str">
        <x:v>normalization_reference</x:v>
      </x:c>
      <x:c r="H87" s="21" t="n">
        <x:v>2</x:v>
      </x:c>
      <x:c r="I87" s="22" t="n">
        <x:v>1.1157</x:v>
      </x:c>
    </x:row>
    <x:row r="88">
      <x:c r="A88" s="20" t="str">
        <x:v>M4</x:v>
      </x:c>
      <x:c r="B88" s="21" t="str">
        <x:v>T6853</x:v>
      </x:c>
      <x:c r="C88" s="21" t="str">
        <x:v>GSK591</x:v>
      </x:c>
      <x:c r="D88" s="21" t="str">
        <x:v>SW620</x:v>
      </x:c>
      <x:c r="E88" s="21" t="n">
        <x:v>2</x:v>
      </x:c>
      <x:c r="F88" s="21" t="str">
        <x:v>SW620 2</x:v>
      </x:c>
      <x:c r="G88" s="21" t="str">
        <x:v>normalization_reference</x:v>
      </x:c>
      <x:c r="H88" s="21" t="n">
        <x:v>3</x:v>
      </x:c>
      <x:c r="I88" s="22" t="n">
        <x:v>1.0809</x:v>
      </x:c>
    </x:row>
    <x:row r="89">
      <x:c r="A89" s="20" t="str">
        <x:v>M4</x:v>
      </x:c>
      <x:c r="B89" s="21" t="str">
        <x:v>T6853</x:v>
      </x:c>
      <x:c r="C89" s="21" t="str">
        <x:v>GSK591</x:v>
      </x:c>
      <x:c r="D89" s="21" t="str">
        <x:v>SW620</x:v>
      </x:c>
      <x:c r="E89" s="21" t="n">
        <x:v>2</x:v>
      </x:c>
      <x:c r="F89" s="21" t="str">
        <x:v>SW620 2</x:v>
      </x:c>
      <x:c r="G89" s="21" t="str">
        <x:v>blank</x:v>
      </x:c>
      <x:c r="H89" s="21" t="n">
        <x:v>1</x:v>
      </x:c>
      <x:c r="I89" s="22" t="n">
        <x:v>0.4002</x:v>
      </x:c>
    </x:row>
    <x:row r="90">
      <x:c r="A90" s="20" t="str">
        <x:v>M4</x:v>
      </x:c>
      <x:c r="B90" s="21" t="str">
        <x:v>T6853</x:v>
      </x:c>
      <x:c r="C90" s="21" t="str">
        <x:v>GSK591</x:v>
      </x:c>
      <x:c r="D90" s="21" t="str">
        <x:v>SW620</x:v>
      </x:c>
      <x:c r="E90" s="21" t="n">
        <x:v>2</x:v>
      </x:c>
      <x:c r="F90" s="21" t="str">
        <x:v>SW620 2</x:v>
      </x:c>
      <x:c r="G90" s="21" t="str">
        <x:v>blank</x:v>
      </x:c>
      <x:c r="H90" s="21" t="n">
        <x:v>2</x:v>
      </x:c>
      <x:c r="I90" s="22" t="n">
        <x:v>0.3835</x:v>
      </x:c>
    </x:row>
    <x:row r="91">
      <x:c r="A91" s="20" t="str">
        <x:v>M4</x:v>
      </x:c>
      <x:c r="B91" s="21" t="str">
        <x:v>T6853</x:v>
      </x:c>
      <x:c r="C91" s="21" t="str">
        <x:v>GSK591</x:v>
      </x:c>
      <x:c r="D91" s="21" t="str">
        <x:v>SW620</x:v>
      </x:c>
      <x:c r="E91" s="21" t="n">
        <x:v>2</x:v>
      </x:c>
      <x:c r="F91" s="21" t="str">
        <x:v>SW620 2</x:v>
      </x:c>
      <x:c r="G91" s="21" t="str">
        <x:v>blank</x:v>
      </x:c>
      <x:c r="H91" s="21" t="n">
        <x:v>3</x:v>
      </x:c>
      <x:c r="I91" s="22" t="n">
        <x:v>0.3797</x:v>
      </x:c>
    </x:row>
    <x:row r="92">
      <x:c r="A92" s="20" t="str">
        <x:v>M5</x:v>
      </x:c>
      <x:c r="B92" s="21" t="str">
        <x:v>T6980</x:v>
      </x:c>
      <x:c r="C92" s="21" t="str">
        <x:v>Scriptaid</x:v>
      </x:c>
      <x:c r="D92" s="21" t="str">
        <x:v>SW620</x:v>
      </x:c>
      <x:c r="E92" s="21" t="n">
        <x:v>2</x:v>
      </x:c>
      <x:c r="F92" s="21" t="str">
        <x:v>SW620 2</x:v>
      </x:c>
      <x:c r="G92" s="21" t="str">
        <x:v>treatment</x:v>
      </x:c>
      <x:c r="H92" s="21" t="n">
        <x:v>1</x:v>
      </x:c>
      <x:c r="I92" s="22" t="n">
        <x:v>0.6289</x:v>
      </x:c>
    </x:row>
    <x:row r="93">
      <x:c r="A93" s="20" t="str">
        <x:v>M5</x:v>
      </x:c>
      <x:c r="B93" s="21" t="str">
        <x:v>T6980</x:v>
      </x:c>
      <x:c r="C93" s="21" t="str">
        <x:v>Scriptaid</x:v>
      </x:c>
      <x:c r="D93" s="21" t="str">
        <x:v>SW620</x:v>
      </x:c>
      <x:c r="E93" s="21" t="n">
        <x:v>2</x:v>
      </x:c>
      <x:c r="F93" s="21" t="str">
        <x:v>SW620 2</x:v>
      </x:c>
      <x:c r="G93" s="21" t="str">
        <x:v>treatment</x:v>
      </x:c>
      <x:c r="H93" s="21" t="n">
        <x:v>2</x:v>
      </x:c>
      <x:c r="I93" s="22" t="n">
        <x:v>0.6758</x:v>
      </x:c>
    </x:row>
    <x:row r="94">
      <x:c r="A94" s="20" t="str">
        <x:v>M5</x:v>
      </x:c>
      <x:c r="B94" s="21" t="str">
        <x:v>T6980</x:v>
      </x:c>
      <x:c r="C94" s="21" t="str">
        <x:v>Scriptaid</x:v>
      </x:c>
      <x:c r="D94" s="21" t="str">
        <x:v>SW620</x:v>
      </x:c>
      <x:c r="E94" s="21" t="n">
        <x:v>2</x:v>
      </x:c>
      <x:c r="F94" s="21" t="str">
        <x:v>SW620 2</x:v>
      </x:c>
      <x:c r="G94" s="21" t="str">
        <x:v>treatment</x:v>
      </x:c>
      <x:c r="H94" s="21" t="n">
        <x:v>3</x:v>
      </x:c>
      <x:c r="I94" s="22" t="n">
        <x:v>0.6543</x:v>
      </x:c>
    </x:row>
    <x:row r="95">
      <x:c r="A95" s="20" t="str">
        <x:v>M5</x:v>
      </x:c>
      <x:c r="B95" s="21" t="str">
        <x:v>T6980</x:v>
      </x:c>
      <x:c r="C95" s="21" t="str">
        <x:v>Scriptaid</x:v>
      </x:c>
      <x:c r="D95" s="21" t="str">
        <x:v>SW620</x:v>
      </x:c>
      <x:c r="E95" s="21" t="n">
        <x:v>2</x:v>
      </x:c>
      <x:c r="F95" s="21" t="str">
        <x:v>SW620 2</x:v>
      </x:c>
      <x:c r="G95" s="21" t="str">
        <x:v>normalization_reference</x:v>
      </x:c>
      <x:c r="H95" s="21" t="n">
        <x:v>1</x:v>
      </x:c>
      <x:c r="I95" s="22" t="n">
        <x:v>1.1512</x:v>
      </x:c>
    </x:row>
    <x:row r="96">
      <x:c r="A96" s="20" t="str">
        <x:v>M5</x:v>
      </x:c>
      <x:c r="B96" s="21" t="str">
        <x:v>T6980</x:v>
      </x:c>
      <x:c r="C96" s="21" t="str">
        <x:v>Scriptaid</x:v>
      </x:c>
      <x:c r="D96" s="21" t="str">
        <x:v>SW620</x:v>
      </x:c>
      <x:c r="E96" s="21" t="n">
        <x:v>2</x:v>
      </x:c>
      <x:c r="F96" s="21" t="str">
        <x:v>SW620 2</x:v>
      </x:c>
      <x:c r="G96" s="21" t="str">
        <x:v>normalization_reference</x:v>
      </x:c>
      <x:c r="H96" s="21" t="n">
        <x:v>2</x:v>
      </x:c>
      <x:c r="I96" s="22" t="n">
        <x:v>1.1157</x:v>
      </x:c>
    </x:row>
    <x:row r="97">
      <x:c r="A97" s="20" t="str">
        <x:v>M5</x:v>
      </x:c>
      <x:c r="B97" s="21" t="str">
        <x:v>T6980</x:v>
      </x:c>
      <x:c r="C97" s="21" t="str">
        <x:v>Scriptaid</x:v>
      </x:c>
      <x:c r="D97" s="21" t="str">
        <x:v>SW620</x:v>
      </x:c>
      <x:c r="E97" s="21" t="n">
        <x:v>2</x:v>
      </x:c>
      <x:c r="F97" s="21" t="str">
        <x:v>SW620 2</x:v>
      </x:c>
      <x:c r="G97" s="21" t="str">
        <x:v>normalization_reference</x:v>
      </x:c>
      <x:c r="H97" s="21" t="n">
        <x:v>3</x:v>
      </x:c>
      <x:c r="I97" s="22" t="n">
        <x:v>1.0809</x:v>
      </x:c>
    </x:row>
    <x:row r="98">
      <x:c r="A98" s="20" t="str">
        <x:v>M5</x:v>
      </x:c>
      <x:c r="B98" s="21" t="str">
        <x:v>T6980</x:v>
      </x:c>
      <x:c r="C98" s="21" t="str">
        <x:v>Scriptaid</x:v>
      </x:c>
      <x:c r="D98" s="21" t="str">
        <x:v>SW620</x:v>
      </x:c>
      <x:c r="E98" s="21" t="n">
        <x:v>2</x:v>
      </x:c>
      <x:c r="F98" s="21" t="str">
        <x:v>SW620 2</x:v>
      </x:c>
      <x:c r="G98" s="21" t="str">
        <x:v>blank</x:v>
      </x:c>
      <x:c r="H98" s="21" t="n">
        <x:v>1</x:v>
      </x:c>
      <x:c r="I98" s="22" t="n">
        <x:v>0.4002</x:v>
      </x:c>
    </x:row>
    <x:row r="99">
      <x:c r="A99" s="20" t="str">
        <x:v>M5</x:v>
      </x:c>
      <x:c r="B99" s="21" t="str">
        <x:v>T6980</x:v>
      </x:c>
      <x:c r="C99" s="21" t="str">
        <x:v>Scriptaid</x:v>
      </x:c>
      <x:c r="D99" s="21" t="str">
        <x:v>SW620</x:v>
      </x:c>
      <x:c r="E99" s="21" t="n">
        <x:v>2</x:v>
      </x:c>
      <x:c r="F99" s="21" t="str">
        <x:v>SW620 2</x:v>
      </x:c>
      <x:c r="G99" s="21" t="str">
        <x:v>blank</x:v>
      </x:c>
      <x:c r="H99" s="21" t="n">
        <x:v>2</x:v>
      </x:c>
      <x:c r="I99" s="22" t="n">
        <x:v>0.3835</x:v>
      </x:c>
    </x:row>
    <x:row r="100">
      <x:c r="A100" s="20" t="str">
        <x:v>M5</x:v>
      </x:c>
      <x:c r="B100" s="21" t="str">
        <x:v>T6980</x:v>
      </x:c>
      <x:c r="C100" s="21" t="str">
        <x:v>Scriptaid</x:v>
      </x:c>
      <x:c r="D100" s="21" t="str">
        <x:v>SW620</x:v>
      </x:c>
      <x:c r="E100" s="21" t="n">
        <x:v>2</x:v>
      </x:c>
      <x:c r="F100" s="21" t="str">
        <x:v>SW620 2</x:v>
      </x:c>
      <x:c r="G100" s="21" t="str">
        <x:v>blank</x:v>
      </x:c>
      <x:c r="H100" s="21" t="n">
        <x:v>3</x:v>
      </x:c>
      <x:c r="I100" s="22" t="n">
        <x:v>0.3797</x:v>
      </x:c>
    </x:row>
    <x:row r="101">
      <x:c r="A101" s="20" t="str">
        <x:v>M6</x:v>
      </x:c>
      <x:c r="B101" s="21" t="str">
        <x:v>T60904</x:v>
      </x:c>
      <x:c r="C101" s="21" t="str">
        <x:v>ERCC1-XPF-IN-2</x:v>
      </x:c>
      <x:c r="D101" s="21" t="str">
        <x:v>SW620</x:v>
      </x:c>
      <x:c r="E101" s="21" t="n">
        <x:v>2</x:v>
      </x:c>
      <x:c r="F101" s="21" t="str">
        <x:v>SW620 2</x:v>
      </x:c>
      <x:c r="G101" s="21" t="str">
        <x:v>treatment</x:v>
      </x:c>
      <x:c r="H101" s="21" t="n">
        <x:v>1</x:v>
      </x:c>
      <x:c r="I101" s="22" t="n">
        <x:v>0.9549</x:v>
      </x:c>
    </x:row>
    <x:row r="102">
      <x:c r="A102" s="20" t="str">
        <x:v>M6</x:v>
      </x:c>
      <x:c r="B102" s="21" t="str">
        <x:v>T60904</x:v>
      </x:c>
      <x:c r="C102" s="21" t="str">
        <x:v>ERCC1-XPF-IN-2</x:v>
      </x:c>
      <x:c r="D102" s="21" t="str">
        <x:v>SW620</x:v>
      </x:c>
      <x:c r="E102" s="21" t="n">
        <x:v>2</x:v>
      </x:c>
      <x:c r="F102" s="21" t="str">
        <x:v>SW620 2</x:v>
      </x:c>
      <x:c r="G102" s="21" t="str">
        <x:v>treatment</x:v>
      </x:c>
      <x:c r="H102" s="21" t="n">
        <x:v>2</x:v>
      </x:c>
      <x:c r="I102" s="22" t="n">
        <x:v>0.9816</x:v>
      </x:c>
    </x:row>
    <x:row r="103">
      <x:c r="A103" s="20" t="str">
        <x:v>M6</x:v>
      </x:c>
      <x:c r="B103" s="21" t="str">
        <x:v>T60904</x:v>
      </x:c>
      <x:c r="C103" s="21" t="str">
        <x:v>ERCC1-XPF-IN-2</x:v>
      </x:c>
      <x:c r="D103" s="21" t="str">
        <x:v>SW620</x:v>
      </x:c>
      <x:c r="E103" s="21" t="n">
        <x:v>2</x:v>
      </x:c>
      <x:c r="F103" s="21" t="str">
        <x:v>SW620 2</x:v>
      </x:c>
      <x:c r="G103" s="21" t="str">
        <x:v>treatment</x:v>
      </x:c>
      <x:c r="H103" s="21" t="n">
        <x:v>3</x:v>
      </x:c>
      <x:c r="I103" s="22" t="n">
        <x:v>0.9339</x:v>
      </x:c>
    </x:row>
    <x:row r="104">
      <x:c r="A104" s="20" t="str">
        <x:v>M6</x:v>
      </x:c>
      <x:c r="B104" s="21" t="str">
        <x:v>T60904</x:v>
      </x:c>
      <x:c r="C104" s="21" t="str">
        <x:v>ERCC1-XPF-IN-2</x:v>
      </x:c>
      <x:c r="D104" s="21" t="str">
        <x:v>SW620</x:v>
      </x:c>
      <x:c r="E104" s="21" t="n">
        <x:v>2</x:v>
      </x:c>
      <x:c r="F104" s="21" t="str">
        <x:v>SW620 2</x:v>
      </x:c>
      <x:c r="G104" s="21" t="str">
        <x:v>normalization_reference</x:v>
      </x:c>
      <x:c r="H104" s="21" t="n">
        <x:v>1</x:v>
      </x:c>
      <x:c r="I104" s="22" t="n">
        <x:v>1.1512</x:v>
      </x:c>
    </x:row>
    <x:row r="105">
      <x:c r="A105" s="20" t="str">
        <x:v>M6</x:v>
      </x:c>
      <x:c r="B105" s="21" t="str">
        <x:v>T60904</x:v>
      </x:c>
      <x:c r="C105" s="21" t="str">
        <x:v>ERCC1-XPF-IN-2</x:v>
      </x:c>
      <x:c r="D105" s="21" t="str">
        <x:v>SW620</x:v>
      </x:c>
      <x:c r="E105" s="21" t="n">
        <x:v>2</x:v>
      </x:c>
      <x:c r="F105" s="21" t="str">
        <x:v>SW620 2</x:v>
      </x:c>
      <x:c r="G105" s="21" t="str">
        <x:v>normalization_reference</x:v>
      </x:c>
      <x:c r="H105" s="21" t="n">
        <x:v>2</x:v>
      </x:c>
      <x:c r="I105" s="22" t="n">
        <x:v>1.1157</x:v>
      </x:c>
    </x:row>
    <x:row r="106">
      <x:c r="A106" s="20" t="str">
        <x:v>M6</x:v>
      </x:c>
      <x:c r="B106" s="21" t="str">
        <x:v>T60904</x:v>
      </x:c>
      <x:c r="C106" s="21" t="str">
        <x:v>ERCC1-XPF-IN-2</x:v>
      </x:c>
      <x:c r="D106" s="21" t="str">
        <x:v>SW620</x:v>
      </x:c>
      <x:c r="E106" s="21" t="n">
        <x:v>2</x:v>
      </x:c>
      <x:c r="F106" s="21" t="str">
        <x:v>SW620 2</x:v>
      </x:c>
      <x:c r="G106" s="21" t="str">
        <x:v>normalization_reference</x:v>
      </x:c>
      <x:c r="H106" s="21" t="n">
        <x:v>3</x:v>
      </x:c>
      <x:c r="I106" s="22" t="n">
        <x:v>1.0809</x:v>
      </x:c>
    </x:row>
    <x:row r="107">
      <x:c r="A107" s="20" t="str">
        <x:v>M6</x:v>
      </x:c>
      <x:c r="B107" s="21" t="str">
        <x:v>T60904</x:v>
      </x:c>
      <x:c r="C107" s="21" t="str">
        <x:v>ERCC1-XPF-IN-2</x:v>
      </x:c>
      <x:c r="D107" s="21" t="str">
        <x:v>SW620</x:v>
      </x:c>
      <x:c r="E107" s="21" t="n">
        <x:v>2</x:v>
      </x:c>
      <x:c r="F107" s="21" t="str">
        <x:v>SW620 2</x:v>
      </x:c>
      <x:c r="G107" s="21" t="str">
        <x:v>blank</x:v>
      </x:c>
      <x:c r="H107" s="21" t="n">
        <x:v>1</x:v>
      </x:c>
      <x:c r="I107" s="22" t="n">
        <x:v>0.4002</x:v>
      </x:c>
    </x:row>
    <x:row r="108">
      <x:c r="A108" s="20" t="str">
        <x:v>M6</x:v>
      </x:c>
      <x:c r="B108" s="21" t="str">
        <x:v>T60904</x:v>
      </x:c>
      <x:c r="C108" s="21" t="str">
        <x:v>ERCC1-XPF-IN-2</x:v>
      </x:c>
      <x:c r="D108" s="21" t="str">
        <x:v>SW620</x:v>
      </x:c>
      <x:c r="E108" s="21" t="n">
        <x:v>2</x:v>
      </x:c>
      <x:c r="F108" s="21" t="str">
        <x:v>SW620 2</x:v>
      </x:c>
      <x:c r="G108" s="21" t="str">
        <x:v>blank</x:v>
      </x:c>
      <x:c r="H108" s="21" t="n">
        <x:v>2</x:v>
      </x:c>
      <x:c r="I108" s="22" t="n">
        <x:v>0.3835</x:v>
      </x:c>
    </x:row>
    <x:row r="109">
      <x:c r="A109" s="20" t="str">
        <x:v>M6</x:v>
      </x:c>
      <x:c r="B109" s="21" t="str">
        <x:v>T60904</x:v>
      </x:c>
      <x:c r="C109" s="21" t="str">
        <x:v>ERCC1-XPF-IN-2</x:v>
      </x:c>
      <x:c r="D109" s="21" t="str">
        <x:v>SW620</x:v>
      </x:c>
      <x:c r="E109" s="21" t="n">
        <x:v>2</x:v>
      </x:c>
      <x:c r="F109" s="21" t="str">
        <x:v>SW620 2</x:v>
      </x:c>
      <x:c r="G109" s="21" t="str">
        <x:v>blank</x:v>
      </x:c>
      <x:c r="H109" s="21" t="n">
        <x:v>3</x:v>
      </x:c>
      <x:c r="I109" s="22" t="n">
        <x:v>0.3797</x:v>
      </x:c>
    </x:row>
    <x:row r="110">
      <x:c r="A110" s="20" t="str">
        <x:v>M1</x:v>
      </x:c>
      <x:c r="B110" s="21" t="str">
        <x:v>T9335</x:v>
      </x:c>
      <x:c r="C110" s="21" t="str">
        <x:v>1,1'-Methylenedi-2-naphthol</x:v>
      </x:c>
      <x:c r="D110" s="21" t="str">
        <x:v>DLD-1</x:v>
      </x:c>
      <x:c r="E110" s="21" t="n">
        <x:v>1</x:v>
      </x:c>
      <x:c r="F110" s="21" t="str">
        <x:v>DLD-1 1</x:v>
      </x:c>
      <x:c r="G110" s="21" t="str">
        <x:v>treatment</x:v>
      </x:c>
      <x:c r="H110" s="21" t="n">
        <x:v>1</x:v>
      </x:c>
      <x:c r="I110" s="22" t="n">
        <x:v>1.3695</x:v>
      </x:c>
    </x:row>
    <x:row r="111">
      <x:c r="A111" s="20" t="str">
        <x:v>M1</x:v>
      </x:c>
      <x:c r="B111" s="21" t="str">
        <x:v>T9335</x:v>
      </x:c>
      <x:c r="C111" s="21" t="str">
        <x:v>1,1'-Methylenedi-2-naphthol</x:v>
      </x:c>
      <x:c r="D111" s="21" t="str">
        <x:v>DLD-1</x:v>
      </x:c>
      <x:c r="E111" s="21" t="n">
        <x:v>1</x:v>
      </x:c>
      <x:c r="F111" s="21" t="str">
        <x:v>DLD-1 1</x:v>
      </x:c>
      <x:c r="G111" s="21" t="str">
        <x:v>treatment</x:v>
      </x:c>
      <x:c r="H111" s="21" t="n">
        <x:v>2</x:v>
      </x:c>
      <x:c r="I111" s="22" t="n">
        <x:v>1.3481</x:v>
      </x:c>
    </x:row>
    <x:row r="112">
      <x:c r="A112" s="20" t="str">
        <x:v>M1</x:v>
      </x:c>
      <x:c r="B112" s="21" t="str">
        <x:v>T9335</x:v>
      </x:c>
      <x:c r="C112" s="21" t="str">
        <x:v>1,1'-Methylenedi-2-naphthol</x:v>
      </x:c>
      <x:c r="D112" s="21" t="str">
        <x:v>DLD-1</x:v>
      </x:c>
      <x:c r="E112" s="21" t="n">
        <x:v>1</x:v>
      </x:c>
      <x:c r="F112" s="21" t="str">
        <x:v>DLD-1 1</x:v>
      </x:c>
      <x:c r="G112" s="21" t="str">
        <x:v>treatment</x:v>
      </x:c>
      <x:c r="H112" s="21" t="n">
        <x:v>3</x:v>
      </x:c>
      <x:c r="I112" s="22" t="n">
        <x:v>1.3447</x:v>
      </x:c>
    </x:row>
    <x:row r="113">
      <x:c r="A113" s="20" t="str">
        <x:v>M1</x:v>
      </x:c>
      <x:c r="B113" s="21" t="str">
        <x:v>T9335</x:v>
      </x:c>
      <x:c r="C113" s="21" t="str">
        <x:v>1,1'-Methylenedi-2-naphthol</x:v>
      </x:c>
      <x:c r="D113" s="21" t="str">
        <x:v>DLD-1</x:v>
      </x:c>
      <x:c r="E113" s="21" t="n">
        <x:v>1</x:v>
      </x:c>
      <x:c r="F113" s="21" t="str">
        <x:v>DLD-1 1</x:v>
      </x:c>
      <x:c r="G113" s="21" t="str">
        <x:v>normalization_reference</x:v>
      </x:c>
      <x:c r="H113" s="21" t="n">
        <x:v>1</x:v>
      </x:c>
      <x:c r="I113" s="22" t="n">
        <x:v>1.381</x:v>
      </x:c>
    </x:row>
    <x:row r="114">
      <x:c r="A114" s="20" t="str">
        <x:v>M1</x:v>
      </x:c>
      <x:c r="B114" s="21" t="str">
        <x:v>T9335</x:v>
      </x:c>
      <x:c r="C114" s="21" t="str">
        <x:v>1,1'-Methylenedi-2-naphthol</x:v>
      </x:c>
      <x:c r="D114" s="21" t="str">
        <x:v>DLD-1</x:v>
      </x:c>
      <x:c r="E114" s="21" t="n">
        <x:v>1</x:v>
      </x:c>
      <x:c r="F114" s="21" t="str">
        <x:v>DLD-1 1</x:v>
      </x:c>
      <x:c r="G114" s="21" t="str">
        <x:v>normalization_reference</x:v>
      </x:c>
      <x:c r="H114" s="21" t="n">
        <x:v>2</x:v>
      </x:c>
      <x:c r="I114" s="22" t="n">
        <x:v>1.2811</x:v>
      </x:c>
    </x:row>
    <x:row r="115">
      <x:c r="A115" s="20" t="str">
        <x:v>M1</x:v>
      </x:c>
      <x:c r="B115" s="21" t="str">
        <x:v>T9335</x:v>
      </x:c>
      <x:c r="C115" s="21" t="str">
        <x:v>1,1'-Methylenedi-2-naphthol</x:v>
      </x:c>
      <x:c r="D115" s="21" t="str">
        <x:v>DLD-1</x:v>
      </x:c>
      <x:c r="E115" s="21" t="n">
        <x:v>1</x:v>
      </x:c>
      <x:c r="F115" s="21" t="str">
        <x:v>DLD-1 1</x:v>
      </x:c>
      <x:c r="G115" s="21" t="str">
        <x:v>normalization_reference</x:v>
      </x:c>
      <x:c r="H115" s="21" t="n">
        <x:v>3</x:v>
      </x:c>
      <x:c r="I115" s="22" t="n">
        <x:v>1.222</x:v>
      </x:c>
    </x:row>
    <x:row r="116">
      <x:c r="A116" s="20" t="str">
        <x:v>M1</x:v>
      </x:c>
      <x:c r="B116" s="21" t="str">
        <x:v>T9335</x:v>
      </x:c>
      <x:c r="C116" s="21" t="str">
        <x:v>1,1'-Methylenedi-2-naphthol</x:v>
      </x:c>
      <x:c r="D116" s="21" t="str">
        <x:v>DLD-1</x:v>
      </x:c>
      <x:c r="E116" s="21" t="n">
        <x:v>1</x:v>
      </x:c>
      <x:c r="F116" s="21" t="str">
        <x:v>DLD-1 1</x:v>
      </x:c>
      <x:c r="G116" s="21" t="str">
        <x:v>blank</x:v>
      </x:c>
      <x:c r="H116" s="21" t="n">
        <x:v>1</x:v>
      </x:c>
      <x:c r="I116" s="22" t="n">
        <x:v>0.1832</x:v>
      </x:c>
    </x:row>
    <x:row r="117">
      <x:c r="A117" s="20" t="str">
        <x:v>M1</x:v>
      </x:c>
      <x:c r="B117" s="21" t="str">
        <x:v>T9335</x:v>
      </x:c>
      <x:c r="C117" s="21" t="str">
        <x:v>1,1'-Methylenedi-2-naphthol</x:v>
      </x:c>
      <x:c r="D117" s="21" t="str">
        <x:v>DLD-1</x:v>
      </x:c>
      <x:c r="E117" s="21" t="n">
        <x:v>1</x:v>
      </x:c>
      <x:c r="F117" s="21" t="str">
        <x:v>DLD-1 1</x:v>
      </x:c>
      <x:c r="G117" s="21" t="str">
        <x:v>blank</x:v>
      </x:c>
      <x:c r="H117" s="21" t="n">
        <x:v>2</x:v>
      </x:c>
      <x:c r="I117" s="22" t="n">
        <x:v>0.1794</x:v>
      </x:c>
    </x:row>
    <x:row r="118">
      <x:c r="A118" s="20" t="str">
        <x:v>M1</x:v>
      </x:c>
      <x:c r="B118" s="21" t="str">
        <x:v>T9335</x:v>
      </x:c>
      <x:c r="C118" s="21" t="str">
        <x:v>1,1'-Methylenedi-2-naphthol</x:v>
      </x:c>
      <x:c r="D118" s="21" t="str">
        <x:v>DLD-1</x:v>
      </x:c>
      <x:c r="E118" s="21" t="n">
        <x:v>1</x:v>
      </x:c>
      <x:c r="F118" s="21" t="str">
        <x:v>DLD-1 1</x:v>
      </x:c>
      <x:c r="G118" s="21" t="str">
        <x:v>blank</x:v>
      </x:c>
      <x:c r="H118" s="21" t="n">
        <x:v>3</x:v>
      </x:c>
      <x:c r="I118" s="22" t="n">
        <x:v>0.1802</x:v>
      </x:c>
    </x:row>
    <x:row r="119">
      <x:c r="A119" s="20" t="str">
        <x:v>M2</x:v>
      </x:c>
      <x:c r="B119" s="21" t="str">
        <x:v>T61189</x:v>
      </x:c>
      <x:c r="C119" s="21" t="str">
        <x:v>E7016</x:v>
      </x:c>
      <x:c r="D119" s="21" t="str">
        <x:v>DLD-1</x:v>
      </x:c>
      <x:c r="E119" s="21" t="n">
        <x:v>1</x:v>
      </x:c>
      <x:c r="F119" s="21" t="str">
        <x:v>DLD-1 1</x:v>
      </x:c>
      <x:c r="G119" s="21" t="str">
        <x:v>treatment</x:v>
      </x:c>
      <x:c r="H119" s="21" t="n">
        <x:v>1</x:v>
      </x:c>
      <x:c r="I119" s="22" t="n">
        <x:v>0.6095</x:v>
      </x:c>
    </x:row>
    <x:row r="120">
      <x:c r="A120" s="20" t="str">
        <x:v>M2</x:v>
      </x:c>
      <x:c r="B120" s="21" t="str">
        <x:v>T61189</x:v>
      </x:c>
      <x:c r="C120" s="21" t="str">
        <x:v>E7016</x:v>
      </x:c>
      <x:c r="D120" s="21" t="str">
        <x:v>DLD-1</x:v>
      </x:c>
      <x:c r="E120" s="21" t="n">
        <x:v>1</x:v>
      </x:c>
      <x:c r="F120" s="21" t="str">
        <x:v>DLD-1 1</x:v>
      </x:c>
      <x:c r="G120" s="21" t="str">
        <x:v>treatment</x:v>
      </x:c>
      <x:c r="H120" s="21" t="n">
        <x:v>2</x:v>
      </x:c>
      <x:c r="I120" s="22" t="n">
        <x:v>0.6476</x:v>
      </x:c>
    </x:row>
    <x:row r="121">
      <x:c r="A121" s="20" t="str">
        <x:v>M2</x:v>
      </x:c>
      <x:c r="B121" s="21" t="str">
        <x:v>T61189</x:v>
      </x:c>
      <x:c r="C121" s="21" t="str">
        <x:v>E7016</x:v>
      </x:c>
      <x:c r="D121" s="21" t="str">
        <x:v>DLD-1</x:v>
      </x:c>
      <x:c r="E121" s="21" t="n">
        <x:v>1</x:v>
      </x:c>
      <x:c r="F121" s="21" t="str">
        <x:v>DLD-1 1</x:v>
      </x:c>
      <x:c r="G121" s="21" t="str">
        <x:v>treatment</x:v>
      </x:c>
      <x:c r="H121" s="21" t="n">
        <x:v>3</x:v>
      </x:c>
      <x:c r="I121" s="22" t="n">
        <x:v>0.6149</x:v>
      </x:c>
    </x:row>
    <x:row r="122">
      <x:c r="A122" s="20" t="str">
        <x:v>M2</x:v>
      </x:c>
      <x:c r="B122" s="21" t="str">
        <x:v>T61189</x:v>
      </x:c>
      <x:c r="C122" s="21" t="str">
        <x:v>E7016</x:v>
      </x:c>
      <x:c r="D122" s="21" t="str">
        <x:v>DLD-1</x:v>
      </x:c>
      <x:c r="E122" s="21" t="n">
        <x:v>1</x:v>
      </x:c>
      <x:c r="F122" s="21" t="str">
        <x:v>DLD-1 1</x:v>
      </x:c>
      <x:c r="G122" s="21" t="str">
        <x:v>normalization_reference</x:v>
      </x:c>
      <x:c r="H122" s="21" t="n">
        <x:v>1</x:v>
      </x:c>
      <x:c r="I122" s="22" t="n">
        <x:v>1.381</x:v>
      </x:c>
    </x:row>
    <x:row r="123">
      <x:c r="A123" s="20" t="str">
        <x:v>M2</x:v>
      </x:c>
      <x:c r="B123" s="21" t="str">
        <x:v>T61189</x:v>
      </x:c>
      <x:c r="C123" s="21" t="str">
        <x:v>E7016</x:v>
      </x:c>
      <x:c r="D123" s="21" t="str">
        <x:v>DLD-1</x:v>
      </x:c>
      <x:c r="E123" s="21" t="n">
        <x:v>1</x:v>
      </x:c>
      <x:c r="F123" s="21" t="str">
        <x:v>DLD-1 1</x:v>
      </x:c>
      <x:c r="G123" s="21" t="str">
        <x:v>normalization_reference</x:v>
      </x:c>
      <x:c r="H123" s="21" t="n">
        <x:v>2</x:v>
      </x:c>
      <x:c r="I123" s="22" t="n">
        <x:v>1.2811</x:v>
      </x:c>
    </x:row>
    <x:row r="124">
      <x:c r="A124" s="20" t="str">
        <x:v>M2</x:v>
      </x:c>
      <x:c r="B124" s="21" t="str">
        <x:v>T61189</x:v>
      </x:c>
      <x:c r="C124" s="21" t="str">
        <x:v>E7016</x:v>
      </x:c>
      <x:c r="D124" s="21" t="str">
        <x:v>DLD-1</x:v>
      </x:c>
      <x:c r="E124" s="21" t="n">
        <x:v>1</x:v>
      </x:c>
      <x:c r="F124" s="21" t="str">
        <x:v>DLD-1 1</x:v>
      </x:c>
      <x:c r="G124" s="21" t="str">
        <x:v>normalization_reference</x:v>
      </x:c>
      <x:c r="H124" s="21" t="n">
        <x:v>3</x:v>
      </x:c>
      <x:c r="I124" s="22" t="n">
        <x:v>1.222</x:v>
      </x:c>
    </x:row>
    <x:row r="125">
      <x:c r="A125" s="20" t="str">
        <x:v>M2</x:v>
      </x:c>
      <x:c r="B125" s="21" t="str">
        <x:v>T61189</x:v>
      </x:c>
      <x:c r="C125" s="21" t="str">
        <x:v>E7016</x:v>
      </x:c>
      <x:c r="D125" s="21" t="str">
        <x:v>DLD-1</x:v>
      </x:c>
      <x:c r="E125" s="21" t="n">
        <x:v>1</x:v>
      </x:c>
      <x:c r="F125" s="21" t="str">
        <x:v>DLD-1 1</x:v>
      </x:c>
      <x:c r="G125" s="21" t="str">
        <x:v>blank</x:v>
      </x:c>
      <x:c r="H125" s="21" t="n">
        <x:v>1</x:v>
      </x:c>
      <x:c r="I125" s="22" t="n">
        <x:v>0.1832</x:v>
      </x:c>
    </x:row>
    <x:row r="126">
      <x:c r="A126" s="20" t="str">
        <x:v>M2</x:v>
      </x:c>
      <x:c r="B126" s="21" t="str">
        <x:v>T61189</x:v>
      </x:c>
      <x:c r="C126" s="21" t="str">
        <x:v>E7016</x:v>
      </x:c>
      <x:c r="D126" s="21" t="str">
        <x:v>DLD-1</x:v>
      </x:c>
      <x:c r="E126" s="21" t="n">
        <x:v>1</x:v>
      </x:c>
      <x:c r="F126" s="21" t="str">
        <x:v>DLD-1 1</x:v>
      </x:c>
      <x:c r="G126" s="21" t="str">
        <x:v>blank</x:v>
      </x:c>
      <x:c r="H126" s="21" t="n">
        <x:v>2</x:v>
      </x:c>
      <x:c r="I126" s="22" t="n">
        <x:v>0.1794</x:v>
      </x:c>
    </x:row>
    <x:row r="127">
      <x:c r="A127" s="20" t="str">
        <x:v>M2</x:v>
      </x:c>
      <x:c r="B127" s="21" t="str">
        <x:v>T61189</x:v>
      </x:c>
      <x:c r="C127" s="21" t="str">
        <x:v>E7016</x:v>
      </x:c>
      <x:c r="D127" s="21" t="str">
        <x:v>DLD-1</x:v>
      </x:c>
      <x:c r="E127" s="21" t="n">
        <x:v>1</x:v>
      </x:c>
      <x:c r="F127" s="21" t="str">
        <x:v>DLD-1 1</x:v>
      </x:c>
      <x:c r="G127" s="21" t="str">
        <x:v>blank</x:v>
      </x:c>
      <x:c r="H127" s="21" t="n">
        <x:v>3</x:v>
      </x:c>
      <x:c r="I127" s="22" t="n">
        <x:v>0.1802</x:v>
      </x:c>
    </x:row>
    <x:row r="128">
      <x:c r="A128" s="20" t="str">
        <x:v>M3</x:v>
      </x:c>
      <x:c r="B128" s="21" t="str">
        <x:v>T12502</x:v>
      </x:c>
      <x:c r="C128" s="21" t="str">
        <x:v>PLpro inhibitor</x:v>
      </x:c>
      <x:c r="D128" s="21" t="str">
        <x:v>DLD-1</x:v>
      </x:c>
      <x:c r="E128" s="21" t="n">
        <x:v>2</x:v>
      </x:c>
      <x:c r="F128" s="21" t="str">
        <x:v>DLD-1 2</x:v>
      </x:c>
      <x:c r="G128" s="21" t="str">
        <x:v>treatment</x:v>
      </x:c>
      <x:c r="H128" s="21" t="n">
        <x:v>1</x:v>
      </x:c>
      <x:c r="I128" s="22" t="n">
        <x:v>0.9703</x:v>
      </x:c>
    </x:row>
    <x:row r="129">
      <x:c r="A129" s="20" t="str">
        <x:v>M3</x:v>
      </x:c>
      <x:c r="B129" s="21" t="str">
        <x:v>T12502</x:v>
      </x:c>
      <x:c r="C129" s="21" t="str">
        <x:v>PLpro inhibitor</x:v>
      </x:c>
      <x:c r="D129" s="21" t="str">
        <x:v>DLD-1</x:v>
      </x:c>
      <x:c r="E129" s="21" t="n">
        <x:v>2</x:v>
      </x:c>
      <x:c r="F129" s="21" t="str">
        <x:v>DLD-1 2</x:v>
      </x:c>
      <x:c r="G129" s="21" t="str">
        <x:v>treatment</x:v>
      </x:c>
      <x:c r="H129" s="21" t="n">
        <x:v>2</x:v>
      </x:c>
      <x:c r="I129" s="22" t="n">
        <x:v>1.325</x:v>
      </x:c>
    </x:row>
    <x:row r="130">
      <x:c r="A130" s="20" t="str">
        <x:v>M3</x:v>
      </x:c>
      <x:c r="B130" s="21" t="str">
        <x:v>T12502</x:v>
      </x:c>
      <x:c r="C130" s="21" t="str">
        <x:v>PLpro inhibitor</x:v>
      </x:c>
      <x:c r="D130" s="21" t="str">
        <x:v>DLD-1</x:v>
      </x:c>
      <x:c r="E130" s="21" t="n">
        <x:v>2</x:v>
      </x:c>
      <x:c r="F130" s="21" t="str">
        <x:v>DLD-1 2</x:v>
      </x:c>
      <x:c r="G130" s="21" t="str">
        <x:v>treatment</x:v>
      </x:c>
      <x:c r="H130" s="21" t="n">
        <x:v>3</x:v>
      </x:c>
      <x:c r="I130" s="22" t="n">
        <x:v>1.2676</x:v>
      </x:c>
    </x:row>
    <x:row r="131">
      <x:c r="A131" s="20" t="str">
        <x:v>M3</x:v>
      </x:c>
      <x:c r="B131" s="21" t="str">
        <x:v>T12502</x:v>
      </x:c>
      <x:c r="C131" s="21" t="str">
        <x:v>PLpro inhibitor</x:v>
      </x:c>
      <x:c r="D131" s="21" t="str">
        <x:v>DLD-1</x:v>
      </x:c>
      <x:c r="E131" s="21" t="n">
        <x:v>2</x:v>
      </x:c>
      <x:c r="F131" s="21" t="str">
        <x:v>DLD-1 2</x:v>
      </x:c>
      <x:c r="G131" s="21" t="str">
        <x:v>normalization_reference</x:v>
      </x:c>
      <x:c r="H131" s="21" t="n">
        <x:v>1</x:v>
      </x:c>
      <x:c r="I131" s="22" t="n">
        <x:v>1.2616</x:v>
      </x:c>
    </x:row>
    <x:row r="132">
      <x:c r="A132" s="20" t="str">
        <x:v>M3</x:v>
      </x:c>
      <x:c r="B132" s="21" t="str">
        <x:v>T12502</x:v>
      </x:c>
      <x:c r="C132" s="21" t="str">
        <x:v>PLpro inhibitor</x:v>
      </x:c>
      <x:c r="D132" s="21" t="str">
        <x:v>DLD-1</x:v>
      </x:c>
      <x:c r="E132" s="21" t="n">
        <x:v>2</x:v>
      </x:c>
      <x:c r="F132" s="21" t="str">
        <x:v>DLD-1 2</x:v>
      </x:c>
      <x:c r="G132" s="21" t="str">
        <x:v>normalization_reference</x:v>
      </x:c>
      <x:c r="H132" s="21" t="n">
        <x:v>2</x:v>
      </x:c>
      <x:c r="I132" s="22" t="n">
        <x:v>1.2981</x:v>
      </x:c>
    </x:row>
    <x:row r="133">
      <x:c r="A133" s="20" t="str">
        <x:v>M3</x:v>
      </x:c>
      <x:c r="B133" s="21" t="str">
        <x:v>T12502</x:v>
      </x:c>
      <x:c r="C133" s="21" t="str">
        <x:v>PLpro inhibitor</x:v>
      </x:c>
      <x:c r="D133" s="21" t="str">
        <x:v>DLD-1</x:v>
      </x:c>
      <x:c r="E133" s="21" t="n">
        <x:v>2</x:v>
      </x:c>
      <x:c r="F133" s="21" t="str">
        <x:v>DLD-1 2</x:v>
      </x:c>
      <x:c r="G133" s="21" t="str">
        <x:v>normalization_reference</x:v>
      </x:c>
      <x:c r="H133" s="21" t="n">
        <x:v>3</x:v>
      </x:c>
      <x:c r="I133" s="22" t="n">
        <x:v>1.2321</x:v>
      </x:c>
    </x:row>
    <x:row r="134">
      <x:c r="A134" s="20" t="str">
        <x:v>M3</x:v>
      </x:c>
      <x:c r="B134" s="21" t="str">
        <x:v>T12502</x:v>
      </x:c>
      <x:c r="C134" s="21" t="str">
        <x:v>PLpro inhibitor</x:v>
      </x:c>
      <x:c r="D134" s="21" t="str">
        <x:v>DLD-1</x:v>
      </x:c>
      <x:c r="E134" s="21" t="n">
        <x:v>2</x:v>
      </x:c>
      <x:c r="F134" s="21" t="str">
        <x:v>DLD-1 2</x:v>
      </x:c>
      <x:c r="G134" s="21" t="str">
        <x:v>blank</x:v>
      </x:c>
      <x:c r="H134" s="21" t="n">
        <x:v>1</x:v>
      </x:c>
      <x:c r="I134" s="22" t="n">
        <x:v>0.1864</x:v>
      </x:c>
    </x:row>
    <x:row r="135">
      <x:c r="A135" s="20" t="str">
        <x:v>M3</x:v>
      </x:c>
      <x:c r="B135" s="21" t="str">
        <x:v>T12502</x:v>
      </x:c>
      <x:c r="C135" s="21" t="str">
        <x:v>PLpro inhibitor</x:v>
      </x:c>
      <x:c r="D135" s="21" t="str">
        <x:v>DLD-1</x:v>
      </x:c>
      <x:c r="E135" s="21" t="n">
        <x:v>2</x:v>
      </x:c>
      <x:c r="F135" s="21" t="str">
        <x:v>DLD-1 2</x:v>
      </x:c>
      <x:c r="G135" s="21" t="str">
        <x:v>blank</x:v>
      </x:c>
      <x:c r="H135" s="21" t="n">
        <x:v>2</x:v>
      </x:c>
      <x:c r="I135" s="22" t="n">
        <x:v>0.1788</x:v>
      </x:c>
    </x:row>
    <x:row r="136">
      <x:c r="A136" s="20" t="str">
        <x:v>M3</x:v>
      </x:c>
      <x:c r="B136" s="21" t="str">
        <x:v>T12502</x:v>
      </x:c>
      <x:c r="C136" s="21" t="str">
        <x:v>PLpro inhibitor</x:v>
      </x:c>
      <x:c r="D136" s="21" t="str">
        <x:v>DLD-1</x:v>
      </x:c>
      <x:c r="E136" s="21" t="n">
        <x:v>2</x:v>
      </x:c>
      <x:c r="F136" s="21" t="str">
        <x:v>DLD-1 2</x:v>
      </x:c>
      <x:c r="G136" s="21" t="str">
        <x:v>blank</x:v>
      </x:c>
      <x:c r="H136" s="21" t="n">
        <x:v>3</x:v>
      </x:c>
      <x:c r="I136" s="22" t="n">
        <x:v>0.1814</x:v>
      </x:c>
    </x:row>
    <x:row r="137">
      <x:c r="A137" s="20" t="str">
        <x:v>M4</x:v>
      </x:c>
      <x:c r="B137" s="21" t="str">
        <x:v>T6853</x:v>
      </x:c>
      <x:c r="C137" s="21" t="str">
        <x:v>GSK591</x:v>
      </x:c>
      <x:c r="D137" s="21" t="str">
        <x:v>DLD-1</x:v>
      </x:c>
      <x:c r="E137" s="21" t="n">
        <x:v>2</x:v>
      </x:c>
      <x:c r="F137" s="21" t="str">
        <x:v>DLD-1 2</x:v>
      </x:c>
      <x:c r="G137" s="21" t="str">
        <x:v>treatment</x:v>
      </x:c>
      <x:c r="H137" s="21" t="n">
        <x:v>1</x:v>
      </x:c>
      <x:c r="I137" s="22" t="n">
        <x:v>1.0842</x:v>
      </x:c>
    </x:row>
    <x:row r="138">
      <x:c r="A138" s="20" t="str">
        <x:v>M4</x:v>
      </x:c>
      <x:c r="B138" s="21" t="str">
        <x:v>T6853</x:v>
      </x:c>
      <x:c r="C138" s="21" t="str">
        <x:v>GSK591</x:v>
      </x:c>
      <x:c r="D138" s="21" t="str">
        <x:v>DLD-1</x:v>
      </x:c>
      <x:c r="E138" s="21" t="n">
        <x:v>2</x:v>
      </x:c>
      <x:c r="F138" s="21" t="str">
        <x:v>DLD-1 2</x:v>
      </x:c>
      <x:c r="G138" s="21" t="str">
        <x:v>treatment</x:v>
      </x:c>
      <x:c r="H138" s="21" t="n">
        <x:v>2</x:v>
      </x:c>
      <x:c r="I138" s="22" t="n">
        <x:v>1.3088</x:v>
      </x:c>
    </x:row>
    <x:row r="139">
      <x:c r="A139" s="20" t="str">
        <x:v>M4</x:v>
      </x:c>
      <x:c r="B139" s="21" t="str">
        <x:v>T6853</x:v>
      </x:c>
      <x:c r="C139" s="21" t="str">
        <x:v>GSK591</x:v>
      </x:c>
      <x:c r="D139" s="21" t="str">
        <x:v>DLD-1</x:v>
      </x:c>
      <x:c r="E139" s="21" t="n">
        <x:v>2</x:v>
      </x:c>
      <x:c r="F139" s="21" t="str">
        <x:v>DLD-1 2</x:v>
      </x:c>
      <x:c r="G139" s="21" t="str">
        <x:v>treatment</x:v>
      </x:c>
      <x:c r="H139" s="21" t="n">
        <x:v>3</x:v>
      </x:c>
      <x:c r="I139" s="22" t="n">
        <x:v>1.3029</x:v>
      </x:c>
    </x:row>
    <x:row r="140">
      <x:c r="A140" s="20" t="str">
        <x:v>M4</x:v>
      </x:c>
      <x:c r="B140" s="21" t="str">
        <x:v>T6853</x:v>
      </x:c>
      <x:c r="C140" s="21" t="str">
        <x:v>GSK591</x:v>
      </x:c>
      <x:c r="D140" s="21" t="str">
        <x:v>DLD-1</x:v>
      </x:c>
      <x:c r="E140" s="21" t="n">
        <x:v>2</x:v>
      </x:c>
      <x:c r="F140" s="21" t="str">
        <x:v>DLD-1 2</x:v>
      </x:c>
      <x:c r="G140" s="21" t="str">
        <x:v>normalization_reference</x:v>
      </x:c>
      <x:c r="H140" s="21" t="n">
        <x:v>1</x:v>
      </x:c>
      <x:c r="I140" s="22" t="n">
        <x:v>1.2616</x:v>
      </x:c>
    </x:row>
    <x:row r="141">
      <x:c r="A141" s="20" t="str">
        <x:v>M4</x:v>
      </x:c>
      <x:c r="B141" s="21" t="str">
        <x:v>T6853</x:v>
      </x:c>
      <x:c r="C141" s="21" t="str">
        <x:v>GSK591</x:v>
      </x:c>
      <x:c r="D141" s="21" t="str">
        <x:v>DLD-1</x:v>
      </x:c>
      <x:c r="E141" s="21" t="n">
        <x:v>2</x:v>
      </x:c>
      <x:c r="F141" s="21" t="str">
        <x:v>DLD-1 2</x:v>
      </x:c>
      <x:c r="G141" s="21" t="str">
        <x:v>normalization_reference</x:v>
      </x:c>
      <x:c r="H141" s="21" t="n">
        <x:v>2</x:v>
      </x:c>
      <x:c r="I141" s="22" t="n">
        <x:v>1.2981</x:v>
      </x:c>
    </x:row>
    <x:row r="142">
      <x:c r="A142" s="20" t="str">
        <x:v>M4</x:v>
      </x:c>
      <x:c r="B142" s="21" t="str">
        <x:v>T6853</x:v>
      </x:c>
      <x:c r="C142" s="21" t="str">
        <x:v>GSK591</x:v>
      </x:c>
      <x:c r="D142" s="21" t="str">
        <x:v>DLD-1</x:v>
      </x:c>
      <x:c r="E142" s="21" t="n">
        <x:v>2</x:v>
      </x:c>
      <x:c r="F142" s="21" t="str">
        <x:v>DLD-1 2</x:v>
      </x:c>
      <x:c r="G142" s="21" t="str">
        <x:v>normalization_reference</x:v>
      </x:c>
      <x:c r="H142" s="21" t="n">
        <x:v>3</x:v>
      </x:c>
      <x:c r="I142" s="22" t="n">
        <x:v>1.2321</x:v>
      </x:c>
    </x:row>
    <x:row r="143">
      <x:c r="A143" s="20" t="str">
        <x:v>M4</x:v>
      </x:c>
      <x:c r="B143" s="21" t="str">
        <x:v>T6853</x:v>
      </x:c>
      <x:c r="C143" s="21" t="str">
        <x:v>GSK591</x:v>
      </x:c>
      <x:c r="D143" s="21" t="str">
        <x:v>DLD-1</x:v>
      </x:c>
      <x:c r="E143" s="21" t="n">
        <x:v>2</x:v>
      </x:c>
      <x:c r="F143" s="21" t="str">
        <x:v>DLD-1 2</x:v>
      </x:c>
      <x:c r="G143" s="21" t="str">
        <x:v>blank</x:v>
      </x:c>
      <x:c r="H143" s="21" t="n">
        <x:v>1</x:v>
      </x:c>
      <x:c r="I143" s="22" t="n">
        <x:v>0.1864</x:v>
      </x:c>
    </x:row>
    <x:row r="144">
      <x:c r="A144" s="20" t="str">
        <x:v>M4</x:v>
      </x:c>
      <x:c r="B144" s="21" t="str">
        <x:v>T6853</x:v>
      </x:c>
      <x:c r="C144" s="21" t="str">
        <x:v>GSK591</x:v>
      </x:c>
      <x:c r="D144" s="21" t="str">
        <x:v>DLD-1</x:v>
      </x:c>
      <x:c r="E144" s="21" t="n">
        <x:v>2</x:v>
      </x:c>
      <x:c r="F144" s="21" t="str">
        <x:v>DLD-1 2</x:v>
      </x:c>
      <x:c r="G144" s="21" t="str">
        <x:v>blank</x:v>
      </x:c>
      <x:c r="H144" s="21" t="n">
        <x:v>2</x:v>
      </x:c>
      <x:c r="I144" s="22" t="n">
        <x:v>0.1788</x:v>
      </x:c>
    </x:row>
    <x:row r="145">
      <x:c r="A145" s="20" t="str">
        <x:v>M4</x:v>
      </x:c>
      <x:c r="B145" s="21" t="str">
        <x:v>T6853</x:v>
      </x:c>
      <x:c r="C145" s="21" t="str">
        <x:v>GSK591</x:v>
      </x:c>
      <x:c r="D145" s="21" t="str">
        <x:v>DLD-1</x:v>
      </x:c>
      <x:c r="E145" s="21" t="n">
        <x:v>2</x:v>
      </x:c>
      <x:c r="F145" s="21" t="str">
        <x:v>DLD-1 2</x:v>
      </x:c>
      <x:c r="G145" s="21" t="str">
        <x:v>blank</x:v>
      </x:c>
      <x:c r="H145" s="21" t="n">
        <x:v>3</x:v>
      </x:c>
      <x:c r="I145" s="22" t="n">
        <x:v>0.1814</x:v>
      </x:c>
    </x:row>
    <x:row r="146">
      <x:c r="A146" s="20" t="str">
        <x:v>M5</x:v>
      </x:c>
      <x:c r="B146" s="21" t="str">
        <x:v>T6980</x:v>
      </x:c>
      <x:c r="C146" s="21" t="str">
        <x:v>Scriptaid</x:v>
      </x:c>
      <x:c r="D146" s="21" t="str">
        <x:v>DLD-1</x:v>
      </x:c>
      <x:c r="E146" s="21" t="n">
        <x:v>2</x:v>
      </x:c>
      <x:c r="F146" s="21" t="str">
        <x:v>DLD-1 2</x:v>
      </x:c>
      <x:c r="G146" s="21" t="str">
        <x:v>treatment</x:v>
      </x:c>
      <x:c r="H146" s="21" t="n">
        <x:v>1</x:v>
      </x:c>
      <x:c r="I146" s="22" t="n">
        <x:v>0.2608</x:v>
      </x:c>
    </x:row>
    <x:row r="147">
      <x:c r="A147" s="20" t="str">
        <x:v>M5</x:v>
      </x:c>
      <x:c r="B147" s="21" t="str">
        <x:v>T6980</x:v>
      </x:c>
      <x:c r="C147" s="21" t="str">
        <x:v>Scriptaid</x:v>
      </x:c>
      <x:c r="D147" s="21" t="str">
        <x:v>DLD-1</x:v>
      </x:c>
      <x:c r="E147" s="21" t="n">
        <x:v>2</x:v>
      </x:c>
      <x:c r="F147" s="21" t="str">
        <x:v>DLD-1 2</x:v>
      </x:c>
      <x:c r="G147" s="21" t="str">
        <x:v>treatment</x:v>
      </x:c>
      <x:c r="H147" s="21" t="n">
        <x:v>2</x:v>
      </x:c>
      <x:c r="I147" s="22" t="n">
        <x:v>0.2761</x:v>
      </x:c>
    </x:row>
    <x:row r="148">
      <x:c r="A148" s="20" t="str">
        <x:v>M5</x:v>
      </x:c>
      <x:c r="B148" s="21" t="str">
        <x:v>T6980</x:v>
      </x:c>
      <x:c r="C148" s="21" t="str">
        <x:v>Scriptaid</x:v>
      </x:c>
      <x:c r="D148" s="21" t="str">
        <x:v>DLD-1</x:v>
      </x:c>
      <x:c r="E148" s="21" t="n">
        <x:v>2</x:v>
      </x:c>
      <x:c r="F148" s="21" t="str">
        <x:v>DLD-1 2</x:v>
      </x:c>
      <x:c r="G148" s="21" t="str">
        <x:v>treatment</x:v>
      </x:c>
      <x:c r="H148" s="21" t="n">
        <x:v>3</x:v>
      </x:c>
      <x:c r="I148" s="22" t="n">
        <x:v>0.2608</x:v>
      </x:c>
    </x:row>
    <x:row r="149">
      <x:c r="A149" s="20" t="str">
        <x:v>M5</x:v>
      </x:c>
      <x:c r="B149" s="21" t="str">
        <x:v>T6980</x:v>
      </x:c>
      <x:c r="C149" s="21" t="str">
        <x:v>Scriptaid</x:v>
      </x:c>
      <x:c r="D149" s="21" t="str">
        <x:v>DLD-1</x:v>
      </x:c>
      <x:c r="E149" s="21" t="n">
        <x:v>2</x:v>
      </x:c>
      <x:c r="F149" s="21" t="str">
        <x:v>DLD-1 2</x:v>
      </x:c>
      <x:c r="G149" s="21" t="str">
        <x:v>normalization_reference</x:v>
      </x:c>
      <x:c r="H149" s="21" t="n">
        <x:v>1</x:v>
      </x:c>
      <x:c r="I149" s="22" t="n">
        <x:v>1.2616</x:v>
      </x:c>
    </x:row>
    <x:row r="150">
      <x:c r="A150" s="20" t="str">
        <x:v>M5</x:v>
      </x:c>
      <x:c r="B150" s="21" t="str">
        <x:v>T6980</x:v>
      </x:c>
      <x:c r="C150" s="21" t="str">
        <x:v>Scriptaid</x:v>
      </x:c>
      <x:c r="D150" s="21" t="str">
        <x:v>DLD-1</x:v>
      </x:c>
      <x:c r="E150" s="21" t="n">
        <x:v>2</x:v>
      </x:c>
      <x:c r="F150" s="21" t="str">
        <x:v>DLD-1 2</x:v>
      </x:c>
      <x:c r="G150" s="21" t="str">
        <x:v>normalization_reference</x:v>
      </x:c>
      <x:c r="H150" s="21" t="n">
        <x:v>2</x:v>
      </x:c>
      <x:c r="I150" s="22" t="n">
        <x:v>1.2981</x:v>
      </x:c>
    </x:row>
    <x:row r="151">
      <x:c r="A151" s="20" t="str">
        <x:v>M5</x:v>
      </x:c>
      <x:c r="B151" s="21" t="str">
        <x:v>T6980</x:v>
      </x:c>
      <x:c r="C151" s="21" t="str">
        <x:v>Scriptaid</x:v>
      </x:c>
      <x:c r="D151" s="21" t="str">
        <x:v>DLD-1</x:v>
      </x:c>
      <x:c r="E151" s="21" t="n">
        <x:v>2</x:v>
      </x:c>
      <x:c r="F151" s="21" t="str">
        <x:v>DLD-1 2</x:v>
      </x:c>
      <x:c r="G151" s="21" t="str">
        <x:v>normalization_reference</x:v>
      </x:c>
      <x:c r="H151" s="21" t="n">
        <x:v>3</x:v>
      </x:c>
      <x:c r="I151" s="22" t="n">
        <x:v>1.2321</x:v>
      </x:c>
    </x:row>
    <x:row r="152">
      <x:c r="A152" s="20" t="str">
        <x:v>M5</x:v>
      </x:c>
      <x:c r="B152" s="21" t="str">
        <x:v>T6980</x:v>
      </x:c>
      <x:c r="C152" s="21" t="str">
        <x:v>Scriptaid</x:v>
      </x:c>
      <x:c r="D152" s="21" t="str">
        <x:v>DLD-1</x:v>
      </x:c>
      <x:c r="E152" s="21" t="n">
        <x:v>2</x:v>
      </x:c>
      <x:c r="F152" s="21" t="str">
        <x:v>DLD-1 2</x:v>
      </x:c>
      <x:c r="G152" s="21" t="str">
        <x:v>blank</x:v>
      </x:c>
      <x:c r="H152" s="21" t="n">
        <x:v>1</x:v>
      </x:c>
      <x:c r="I152" s="22" t="n">
        <x:v>0.1864</x:v>
      </x:c>
    </x:row>
    <x:row r="153">
      <x:c r="A153" s="20" t="str">
        <x:v>M5</x:v>
      </x:c>
      <x:c r="B153" s="21" t="str">
        <x:v>T6980</x:v>
      </x:c>
      <x:c r="C153" s="21" t="str">
        <x:v>Scriptaid</x:v>
      </x:c>
      <x:c r="D153" s="21" t="str">
        <x:v>DLD-1</x:v>
      </x:c>
      <x:c r="E153" s="21" t="n">
        <x:v>2</x:v>
      </x:c>
      <x:c r="F153" s="21" t="str">
        <x:v>DLD-1 2</x:v>
      </x:c>
      <x:c r="G153" s="21" t="str">
        <x:v>blank</x:v>
      </x:c>
      <x:c r="H153" s="21" t="n">
        <x:v>2</x:v>
      </x:c>
      <x:c r="I153" s="22" t="n">
        <x:v>0.1788</x:v>
      </x:c>
    </x:row>
    <x:row r="154">
      <x:c r="A154" s="20" t="str">
        <x:v>M5</x:v>
      </x:c>
      <x:c r="B154" s="21" t="str">
        <x:v>T6980</x:v>
      </x:c>
      <x:c r="C154" s="21" t="str">
        <x:v>Scriptaid</x:v>
      </x:c>
      <x:c r="D154" s="21" t="str">
        <x:v>DLD-1</x:v>
      </x:c>
      <x:c r="E154" s="21" t="n">
        <x:v>2</x:v>
      </x:c>
      <x:c r="F154" s="21" t="str">
        <x:v>DLD-1 2</x:v>
      </x:c>
      <x:c r="G154" s="21" t="str">
        <x:v>blank</x:v>
      </x:c>
      <x:c r="H154" s="21" t="n">
        <x:v>3</x:v>
      </x:c>
      <x:c r="I154" s="22" t="n">
        <x:v>0.1814</x:v>
      </x:c>
    </x:row>
    <x:row r="155">
      <x:c r="A155" s="20" t="str">
        <x:v>M6</x:v>
      </x:c>
      <x:c r="B155" s="21" t="str">
        <x:v>T60904</x:v>
      </x:c>
      <x:c r="C155" s="21" t="str">
        <x:v>ERCC1-XPF-IN-2</x:v>
      </x:c>
      <x:c r="D155" s="21" t="str">
        <x:v>DLD-1</x:v>
      </x:c>
      <x:c r="E155" s="21" t="n">
        <x:v>2</x:v>
      </x:c>
      <x:c r="F155" s="21" t="str">
        <x:v>DLD-1 2</x:v>
      </x:c>
      <x:c r="G155" s="21" t="str">
        <x:v>treatment</x:v>
      </x:c>
      <x:c r="H155" s="21" t="n">
        <x:v>1</x:v>
      </x:c>
      <x:c r="I155" s="22" t="n">
        <x:v>0.9582</x:v>
      </x:c>
    </x:row>
    <x:row r="156">
      <x:c r="A156" s="20" t="str">
        <x:v>M6</x:v>
      </x:c>
      <x:c r="B156" s="21" t="str">
        <x:v>T60904</x:v>
      </x:c>
      <x:c r="C156" s="21" t="str">
        <x:v>ERCC1-XPF-IN-2</x:v>
      </x:c>
      <x:c r="D156" s="21" t="str">
        <x:v>DLD-1</x:v>
      </x:c>
      <x:c r="E156" s="21" t="n">
        <x:v>2</x:v>
      </x:c>
      <x:c r="F156" s="21" t="str">
        <x:v>DLD-1 2</x:v>
      </x:c>
      <x:c r="G156" s="21" t="str">
        <x:v>treatment</x:v>
      </x:c>
      <x:c r="H156" s="21" t="n">
        <x:v>2</x:v>
      </x:c>
      <x:c r="I156" s="22" t="n">
        <x:v>1.1542</x:v>
      </x:c>
    </x:row>
    <x:row r="157">
      <x:c r="A157" s="20" t="str">
        <x:v>M6</x:v>
      </x:c>
      <x:c r="B157" s="21" t="str">
        <x:v>T60904</x:v>
      </x:c>
      <x:c r="C157" s="21" t="str">
        <x:v>ERCC1-XPF-IN-2</x:v>
      </x:c>
      <x:c r="D157" s="21" t="str">
        <x:v>DLD-1</x:v>
      </x:c>
      <x:c r="E157" s="21" t="n">
        <x:v>2</x:v>
      </x:c>
      <x:c r="F157" s="21" t="str">
        <x:v>DLD-1 2</x:v>
      </x:c>
      <x:c r="G157" s="21" t="str">
        <x:v>treatment</x:v>
      </x:c>
      <x:c r="H157" s="21" t="n">
        <x:v>3</x:v>
      </x:c>
      <x:c r="I157" s="22" t="n">
        <x:v>1.1488</x:v>
      </x:c>
    </x:row>
    <x:row r="158">
      <x:c r="A158" s="20" t="str">
        <x:v>M6</x:v>
      </x:c>
      <x:c r="B158" s="21" t="str">
        <x:v>T60904</x:v>
      </x:c>
      <x:c r="C158" s="21" t="str">
        <x:v>ERCC1-XPF-IN-2</x:v>
      </x:c>
      <x:c r="D158" s="21" t="str">
        <x:v>DLD-1</x:v>
      </x:c>
      <x:c r="E158" s="21" t="n">
        <x:v>2</x:v>
      </x:c>
      <x:c r="F158" s="21" t="str">
        <x:v>DLD-1 2</x:v>
      </x:c>
      <x:c r="G158" s="21" t="str">
        <x:v>normalization_reference</x:v>
      </x:c>
      <x:c r="H158" s="21" t="n">
        <x:v>1</x:v>
      </x:c>
      <x:c r="I158" s="22" t="n">
        <x:v>1.2616</x:v>
      </x:c>
    </x:row>
    <x:row r="159">
      <x:c r="A159" s="20" t="str">
        <x:v>M6</x:v>
      </x:c>
      <x:c r="B159" s="21" t="str">
        <x:v>T60904</x:v>
      </x:c>
      <x:c r="C159" s="21" t="str">
        <x:v>ERCC1-XPF-IN-2</x:v>
      </x:c>
      <x:c r="D159" s="21" t="str">
        <x:v>DLD-1</x:v>
      </x:c>
      <x:c r="E159" s="21" t="n">
        <x:v>2</x:v>
      </x:c>
      <x:c r="F159" s="21" t="str">
        <x:v>DLD-1 2</x:v>
      </x:c>
      <x:c r="G159" s="21" t="str">
        <x:v>normalization_reference</x:v>
      </x:c>
      <x:c r="H159" s="21" t="n">
        <x:v>2</x:v>
      </x:c>
      <x:c r="I159" s="22" t="n">
        <x:v>1.2981</x:v>
      </x:c>
    </x:row>
    <x:row r="160">
      <x:c r="A160" s="20" t="str">
        <x:v>M6</x:v>
      </x:c>
      <x:c r="B160" s="21" t="str">
        <x:v>T60904</x:v>
      </x:c>
      <x:c r="C160" s="21" t="str">
        <x:v>ERCC1-XPF-IN-2</x:v>
      </x:c>
      <x:c r="D160" s="21" t="str">
        <x:v>DLD-1</x:v>
      </x:c>
      <x:c r="E160" s="21" t="n">
        <x:v>2</x:v>
      </x:c>
      <x:c r="F160" s="21" t="str">
        <x:v>DLD-1 2</x:v>
      </x:c>
      <x:c r="G160" s="21" t="str">
        <x:v>normalization_reference</x:v>
      </x:c>
      <x:c r="H160" s="21" t="n">
        <x:v>3</x:v>
      </x:c>
      <x:c r="I160" s="22" t="n">
        <x:v>1.2321</x:v>
      </x:c>
    </x:row>
    <x:row r="161">
      <x:c r="A161" s="20" t="str">
        <x:v>M6</x:v>
      </x:c>
      <x:c r="B161" s="21" t="str">
        <x:v>T60904</x:v>
      </x:c>
      <x:c r="C161" s="21" t="str">
        <x:v>ERCC1-XPF-IN-2</x:v>
      </x:c>
      <x:c r="D161" s="21" t="str">
        <x:v>DLD-1</x:v>
      </x:c>
      <x:c r="E161" s="21" t="n">
        <x:v>2</x:v>
      </x:c>
      <x:c r="F161" s="21" t="str">
        <x:v>DLD-1 2</x:v>
      </x:c>
      <x:c r="G161" s="21" t="str">
        <x:v>blank</x:v>
      </x:c>
      <x:c r="H161" s="21" t="n">
        <x:v>1</x:v>
      </x:c>
      <x:c r="I161" s="22" t="n">
        <x:v>0.1864</x:v>
      </x:c>
    </x:row>
    <x:row r="162">
      <x:c r="A162" s="20" t="str">
        <x:v>M6</x:v>
      </x:c>
      <x:c r="B162" s="21" t="str">
        <x:v>T60904</x:v>
      </x:c>
      <x:c r="C162" s="21" t="str">
        <x:v>ERCC1-XPF-IN-2</x:v>
      </x:c>
      <x:c r="D162" s="21" t="str">
        <x:v>DLD-1</x:v>
      </x:c>
      <x:c r="E162" s="21" t="n">
        <x:v>2</x:v>
      </x:c>
      <x:c r="F162" s="21" t="str">
        <x:v>DLD-1 2</x:v>
      </x:c>
      <x:c r="G162" s="21" t="str">
        <x:v>blank</x:v>
      </x:c>
      <x:c r="H162" s="21" t="n">
        <x:v>2</x:v>
      </x:c>
      <x:c r="I162" s="22" t="n">
        <x:v>0.1788</x:v>
      </x:c>
    </x:row>
    <x:row r="163">
      <x:c r="A163" s="20" t="str">
        <x:v>M6</x:v>
      </x:c>
      <x:c r="B163" s="21" t="str">
        <x:v>T60904</x:v>
      </x:c>
      <x:c r="C163" s="21" t="str">
        <x:v>ERCC1-XPF-IN-2</x:v>
      </x:c>
      <x:c r="D163" s="21" t="str">
        <x:v>DLD-1</x:v>
      </x:c>
      <x:c r="E163" s="21" t="n">
        <x:v>2</x:v>
      </x:c>
      <x:c r="F163" s="21" t="str">
        <x:v>DLD-1 2</x:v>
      </x:c>
      <x:c r="G163" s="21" t="str">
        <x:v>blank</x:v>
      </x:c>
      <x:c r="H163" s="21" t="n">
        <x:v>3</x:v>
      </x:c>
      <x:c r="I163" s="22" t="n">
        <x:v>0.1814</x:v>
      </x:c>
    </x:row>
    <x:row r="164">
      <x:c r="A164" s="20" t="str">
        <x:v>M1</x:v>
      </x:c>
      <x:c r="B164" s="21" t="str">
        <x:v>T9335</x:v>
      </x:c>
      <x:c r="C164" s="21" t="str">
        <x:v>1,1'-Methylenedi-2-naphthol</x:v>
      </x:c>
      <x:c r="D164" s="21" t="str">
        <x:v>HT-29</x:v>
      </x:c>
      <x:c r="E164" s="21" t="n">
        <x:v>1</x:v>
      </x:c>
      <x:c r="F164" s="21" t="str">
        <x:v>HT-29 1</x:v>
      </x:c>
      <x:c r="G164" s="21" t="str">
        <x:v>treatment</x:v>
      </x:c>
      <x:c r="H164" s="21" t="n">
        <x:v>1</x:v>
      </x:c>
      <x:c r="I164" s="22" t="n">
        <x:v>1.6869</x:v>
      </x:c>
    </x:row>
    <x:row r="165">
      <x:c r="A165" s="20" t="str">
        <x:v>M1</x:v>
      </x:c>
      <x:c r="B165" s="21" t="str">
        <x:v>T9335</x:v>
      </x:c>
      <x:c r="C165" s="21" t="str">
        <x:v>1,1'-Methylenedi-2-naphthol</x:v>
      </x:c>
      <x:c r="D165" s="21" t="str">
        <x:v>HT-29</x:v>
      </x:c>
      <x:c r="E165" s="21" t="n">
        <x:v>1</x:v>
      </x:c>
      <x:c r="F165" s="21" t="str">
        <x:v>HT-29 1</x:v>
      </x:c>
      <x:c r="G165" s="21" t="str">
        <x:v>treatment</x:v>
      </x:c>
      <x:c r="H165" s="21" t="n">
        <x:v>2</x:v>
      </x:c>
      <x:c r="I165" s="22" t="n">
        <x:v>1.5923</x:v>
      </x:c>
    </x:row>
    <x:row r="166">
      <x:c r="A166" s="20" t="str">
        <x:v>M1</x:v>
      </x:c>
      <x:c r="B166" s="21" t="str">
        <x:v>T9335</x:v>
      </x:c>
      <x:c r="C166" s="21" t="str">
        <x:v>1,1'-Methylenedi-2-naphthol</x:v>
      </x:c>
      <x:c r="D166" s="21" t="str">
        <x:v>HT-29</x:v>
      </x:c>
      <x:c r="E166" s="21" t="n">
        <x:v>1</x:v>
      </x:c>
      <x:c r="F166" s="21" t="str">
        <x:v>HT-29 1</x:v>
      </x:c>
      <x:c r="G166" s="21" t="str">
        <x:v>treatment</x:v>
      </x:c>
      <x:c r="H166" s="21" t="n">
        <x:v>3</x:v>
      </x:c>
      <x:c r="I166" s="22" t="n">
        <x:v>1.5255</x:v>
      </x:c>
    </x:row>
    <x:row r="167">
      <x:c r="A167" s="20" t="str">
        <x:v>M1</x:v>
      </x:c>
      <x:c r="B167" s="21" t="str">
        <x:v>T9335</x:v>
      </x:c>
      <x:c r="C167" s="21" t="str">
        <x:v>1,1'-Methylenedi-2-naphthol</x:v>
      </x:c>
      <x:c r="D167" s="21" t="str">
        <x:v>HT-29</x:v>
      </x:c>
      <x:c r="E167" s="21" t="n">
        <x:v>1</x:v>
      </x:c>
      <x:c r="F167" s="21" t="str">
        <x:v>HT-29 1</x:v>
      </x:c>
      <x:c r="G167" s="21" t="str">
        <x:v>normalization_reference</x:v>
      </x:c>
      <x:c r="H167" s="21" t="n">
        <x:v>1</x:v>
      </x:c>
      <x:c r="I167" s="22" t="n">
        <x:v>2.0381</x:v>
      </x:c>
    </x:row>
    <x:row r="168">
      <x:c r="A168" s="20" t="str">
        <x:v>M1</x:v>
      </x:c>
      <x:c r="B168" s="21" t="str">
        <x:v>T9335</x:v>
      </x:c>
      <x:c r="C168" s="21" t="str">
        <x:v>1,1'-Methylenedi-2-naphthol</x:v>
      </x:c>
      <x:c r="D168" s="21" t="str">
        <x:v>HT-29</x:v>
      </x:c>
      <x:c r="E168" s="21" t="n">
        <x:v>1</x:v>
      </x:c>
      <x:c r="F168" s="21" t="str">
        <x:v>HT-29 1</x:v>
      </x:c>
      <x:c r="G168" s="21" t="str">
        <x:v>normalization_reference</x:v>
      </x:c>
      <x:c r="H168" s="21" t="n">
        <x:v>2</x:v>
      </x:c>
      <x:c r="I168" s="22" t="n">
        <x:v>1.867</x:v>
      </x:c>
    </x:row>
    <x:row r="169">
      <x:c r="A169" s="20" t="str">
        <x:v>M1</x:v>
      </x:c>
      <x:c r="B169" s="21" t="str">
        <x:v>T9335</x:v>
      </x:c>
      <x:c r="C169" s="21" t="str">
        <x:v>1,1'-Methylenedi-2-naphthol</x:v>
      </x:c>
      <x:c r="D169" s="21" t="str">
        <x:v>HT-29</x:v>
      </x:c>
      <x:c r="E169" s="21" t="n">
        <x:v>1</x:v>
      </x:c>
      <x:c r="F169" s="21" t="str">
        <x:v>HT-29 1</x:v>
      </x:c>
      <x:c r="G169" s="21" t="str">
        <x:v>normalization_reference</x:v>
      </x:c>
      <x:c r="H169" s="21" t="n">
        <x:v>3</x:v>
      </x:c>
      <x:c r="I169" s="22" t="n">
        <x:v>1.7652</x:v>
      </x:c>
    </x:row>
    <x:row r="170">
      <x:c r="A170" s="20" t="str">
        <x:v>M1</x:v>
      </x:c>
      <x:c r="B170" s="21" t="str">
        <x:v>T9335</x:v>
      </x:c>
      <x:c r="C170" s="21" t="str">
        <x:v>1,1'-Methylenedi-2-naphthol</x:v>
      </x:c>
      <x:c r="D170" s="21" t="str">
        <x:v>HT-29</x:v>
      </x:c>
      <x:c r="E170" s="21" t="n">
        <x:v>1</x:v>
      </x:c>
      <x:c r="F170" s="21" t="str">
        <x:v>HT-29 1</x:v>
      </x:c>
      <x:c r="G170" s="21" t="str">
        <x:v>blank</x:v>
      </x:c>
      <x:c r="H170" s="21" t="n">
        <x:v>1</x:v>
      </x:c>
      <x:c r="I170" s="22" t="n">
        <x:v>0.1886</x:v>
      </x:c>
    </x:row>
    <x:row r="171">
      <x:c r="A171" s="20" t="str">
        <x:v>M1</x:v>
      </x:c>
      <x:c r="B171" s="21" t="str">
        <x:v>T9335</x:v>
      </x:c>
      <x:c r="C171" s="21" t="str">
        <x:v>1,1'-Methylenedi-2-naphthol</x:v>
      </x:c>
      <x:c r="D171" s="21" t="str">
        <x:v>HT-29</x:v>
      </x:c>
      <x:c r="E171" s="21" t="n">
        <x:v>1</x:v>
      </x:c>
      <x:c r="F171" s="21" t="str">
        <x:v>HT-29 1</x:v>
      </x:c>
      <x:c r="G171" s="21" t="str">
        <x:v>blank</x:v>
      </x:c>
      <x:c r="H171" s="21" t="n">
        <x:v>2</x:v>
      </x:c>
      <x:c r="I171" s="22" t="n">
        <x:v>0.1846</x:v>
      </x:c>
    </x:row>
    <x:row r="172">
      <x:c r="A172" s="20" t="str">
        <x:v>M1</x:v>
      </x:c>
      <x:c r="B172" s="21" t="str">
        <x:v>T9335</x:v>
      </x:c>
      <x:c r="C172" s="21" t="str">
        <x:v>1,1'-Methylenedi-2-naphthol</x:v>
      </x:c>
      <x:c r="D172" s="21" t="str">
        <x:v>HT-29</x:v>
      </x:c>
      <x:c r="E172" s="21" t="n">
        <x:v>1</x:v>
      </x:c>
      <x:c r="F172" s="21" t="str">
        <x:v>HT-29 1</x:v>
      </x:c>
      <x:c r="G172" s="21" t="str">
        <x:v>blank</x:v>
      </x:c>
      <x:c r="H172" s="21" t="n">
        <x:v>3</x:v>
      </x:c>
      <x:c r="I172" s="22" t="n">
        <x:v>0.1829</x:v>
      </x:c>
    </x:row>
    <x:row r="173">
      <x:c r="A173" s="20" t="str">
        <x:v>M2</x:v>
      </x:c>
      <x:c r="B173" s="21" t="str">
        <x:v>T61189</x:v>
      </x:c>
      <x:c r="C173" s="21" t="str">
        <x:v>E7016</x:v>
      </x:c>
      <x:c r="D173" s="21" t="str">
        <x:v>HT-29</x:v>
      </x:c>
      <x:c r="E173" s="21" t="n">
        <x:v>1</x:v>
      </x:c>
      <x:c r="F173" s="21" t="str">
        <x:v>HT-29 1</x:v>
      </x:c>
      <x:c r="G173" s="21" t="str">
        <x:v>treatment</x:v>
      </x:c>
      <x:c r="H173" s="21" t="n">
        <x:v>1</x:v>
      </x:c>
      <x:c r="I173" s="22" t="n">
        <x:v>1.3559</x:v>
      </x:c>
    </x:row>
    <x:row r="174">
      <x:c r="A174" s="20" t="str">
        <x:v>M2</x:v>
      </x:c>
      <x:c r="B174" s="21" t="str">
        <x:v>T61189</x:v>
      </x:c>
      <x:c r="C174" s="21" t="str">
        <x:v>E7016</x:v>
      </x:c>
      <x:c r="D174" s="21" t="str">
        <x:v>HT-29</x:v>
      </x:c>
      <x:c r="E174" s="21" t="n">
        <x:v>1</x:v>
      </x:c>
      <x:c r="F174" s="21" t="str">
        <x:v>HT-29 1</x:v>
      </x:c>
      <x:c r="G174" s="21" t="str">
        <x:v>treatment</x:v>
      </x:c>
      <x:c r="H174" s="21" t="n">
        <x:v>2</x:v>
      </x:c>
      <x:c r="I174" s="22" t="n">
        <x:v>1.319</x:v>
      </x:c>
    </x:row>
    <x:row r="175">
      <x:c r="A175" s="20" t="str">
        <x:v>M2</x:v>
      </x:c>
      <x:c r="B175" s="21" t="str">
        <x:v>T61189</x:v>
      </x:c>
      <x:c r="C175" s="21" t="str">
        <x:v>E7016</x:v>
      </x:c>
      <x:c r="D175" s="21" t="str">
        <x:v>HT-29</x:v>
      </x:c>
      <x:c r="E175" s="21" t="n">
        <x:v>1</x:v>
      </x:c>
      <x:c r="F175" s="21" t="str">
        <x:v>HT-29 1</x:v>
      </x:c>
      <x:c r="G175" s="21" t="str">
        <x:v>treatment</x:v>
      </x:c>
      <x:c r="H175" s="21" t="n">
        <x:v>3</x:v>
      </x:c>
      <x:c r="I175" s="22" t="n">
        <x:v>1.1808</x:v>
      </x:c>
    </x:row>
    <x:row r="176">
      <x:c r="A176" s="20" t="str">
        <x:v>M2</x:v>
      </x:c>
      <x:c r="B176" s="21" t="str">
        <x:v>T61189</x:v>
      </x:c>
      <x:c r="C176" s="21" t="str">
        <x:v>E7016</x:v>
      </x:c>
      <x:c r="D176" s="21" t="str">
        <x:v>HT-29</x:v>
      </x:c>
      <x:c r="E176" s="21" t="n">
        <x:v>1</x:v>
      </x:c>
      <x:c r="F176" s="21" t="str">
        <x:v>HT-29 1</x:v>
      </x:c>
      <x:c r="G176" s="21" t="str">
        <x:v>normalization_reference</x:v>
      </x:c>
      <x:c r="H176" s="21" t="n">
        <x:v>1</x:v>
      </x:c>
      <x:c r="I176" s="22" t="n">
        <x:v>2.0381</x:v>
      </x:c>
    </x:row>
    <x:row r="177">
      <x:c r="A177" s="20" t="str">
        <x:v>M2</x:v>
      </x:c>
      <x:c r="B177" s="21" t="str">
        <x:v>T61189</x:v>
      </x:c>
      <x:c r="C177" s="21" t="str">
        <x:v>E7016</x:v>
      </x:c>
      <x:c r="D177" s="21" t="str">
        <x:v>HT-29</x:v>
      </x:c>
      <x:c r="E177" s="21" t="n">
        <x:v>1</x:v>
      </x:c>
      <x:c r="F177" s="21" t="str">
        <x:v>HT-29 1</x:v>
      </x:c>
      <x:c r="G177" s="21" t="str">
        <x:v>normalization_reference</x:v>
      </x:c>
      <x:c r="H177" s="21" t="n">
        <x:v>2</x:v>
      </x:c>
      <x:c r="I177" s="22" t="n">
        <x:v>1.867</x:v>
      </x:c>
    </x:row>
    <x:row r="178">
      <x:c r="A178" s="20" t="str">
        <x:v>M2</x:v>
      </x:c>
      <x:c r="B178" s="21" t="str">
        <x:v>T61189</x:v>
      </x:c>
      <x:c r="C178" s="21" t="str">
        <x:v>E7016</x:v>
      </x:c>
      <x:c r="D178" s="21" t="str">
        <x:v>HT-29</x:v>
      </x:c>
      <x:c r="E178" s="21" t="n">
        <x:v>1</x:v>
      </x:c>
      <x:c r="F178" s="21" t="str">
        <x:v>HT-29 1</x:v>
      </x:c>
      <x:c r="G178" s="21" t="str">
        <x:v>normalization_reference</x:v>
      </x:c>
      <x:c r="H178" s="21" t="n">
        <x:v>3</x:v>
      </x:c>
      <x:c r="I178" s="22" t="n">
        <x:v>1.7652</x:v>
      </x:c>
    </x:row>
    <x:row r="179">
      <x:c r="A179" s="20" t="str">
        <x:v>M2</x:v>
      </x:c>
      <x:c r="B179" s="21" t="str">
        <x:v>T61189</x:v>
      </x:c>
      <x:c r="C179" s="21" t="str">
        <x:v>E7016</x:v>
      </x:c>
      <x:c r="D179" s="21" t="str">
        <x:v>HT-29</x:v>
      </x:c>
      <x:c r="E179" s="21" t="n">
        <x:v>1</x:v>
      </x:c>
      <x:c r="F179" s="21" t="str">
        <x:v>HT-29 1</x:v>
      </x:c>
      <x:c r="G179" s="21" t="str">
        <x:v>blank</x:v>
      </x:c>
      <x:c r="H179" s="21" t="n">
        <x:v>1</x:v>
      </x:c>
      <x:c r="I179" s="22" t="n">
        <x:v>0.1886</x:v>
      </x:c>
    </x:row>
    <x:row r="180">
      <x:c r="A180" s="20" t="str">
        <x:v>M2</x:v>
      </x:c>
      <x:c r="B180" s="21" t="str">
        <x:v>T61189</x:v>
      </x:c>
      <x:c r="C180" s="21" t="str">
        <x:v>E7016</x:v>
      </x:c>
      <x:c r="D180" s="21" t="str">
        <x:v>HT-29</x:v>
      </x:c>
      <x:c r="E180" s="21" t="n">
        <x:v>1</x:v>
      </x:c>
      <x:c r="F180" s="21" t="str">
        <x:v>HT-29 1</x:v>
      </x:c>
      <x:c r="G180" s="21" t="str">
        <x:v>blank</x:v>
      </x:c>
      <x:c r="H180" s="21" t="n">
        <x:v>2</x:v>
      </x:c>
      <x:c r="I180" s="22" t="n">
        <x:v>0.1846</x:v>
      </x:c>
    </x:row>
    <x:row r="181">
      <x:c r="A181" s="20" t="str">
        <x:v>M2</x:v>
      </x:c>
      <x:c r="B181" s="21" t="str">
        <x:v>T61189</x:v>
      </x:c>
      <x:c r="C181" s="21" t="str">
        <x:v>E7016</x:v>
      </x:c>
      <x:c r="D181" s="21" t="str">
        <x:v>HT-29</x:v>
      </x:c>
      <x:c r="E181" s="21" t="n">
        <x:v>1</x:v>
      </x:c>
      <x:c r="F181" s="21" t="str">
        <x:v>HT-29 1</x:v>
      </x:c>
      <x:c r="G181" s="21" t="str">
        <x:v>blank</x:v>
      </x:c>
      <x:c r="H181" s="21" t="n">
        <x:v>3</x:v>
      </x:c>
      <x:c r="I181" s="22" t="n">
        <x:v>0.1829</x:v>
      </x:c>
    </x:row>
    <x:row r="182">
      <x:c r="A182" s="20" t="str">
        <x:v>M3</x:v>
      </x:c>
      <x:c r="B182" s="21" t="str">
        <x:v>T12502</x:v>
      </x:c>
      <x:c r="C182" s="21" t="str">
        <x:v>PLpro inhibitor</x:v>
      </x:c>
      <x:c r="D182" s="21" t="str">
        <x:v>HT-29</x:v>
      </x:c>
      <x:c r="E182" s="21" t="n">
        <x:v>2</x:v>
      </x:c>
      <x:c r="F182" s="21" t="str">
        <x:v>HT-29 2</x:v>
      </x:c>
      <x:c r="G182" s="21" t="str">
        <x:v>treatment</x:v>
      </x:c>
      <x:c r="H182" s="21" t="n">
        <x:v>1</x:v>
      </x:c>
      <x:c r="I182" s="22" t="n">
        <x:v>1.7374</x:v>
      </x:c>
    </x:row>
    <x:row r="183">
      <x:c r="A183" s="20" t="str">
        <x:v>M3</x:v>
      </x:c>
      <x:c r="B183" s="21" t="str">
        <x:v>T12502</x:v>
      </x:c>
      <x:c r="C183" s="21" t="str">
        <x:v>PLpro inhibitor</x:v>
      </x:c>
      <x:c r="D183" s="21" t="str">
        <x:v>HT-29</x:v>
      </x:c>
      <x:c r="E183" s="21" t="n">
        <x:v>2</x:v>
      </x:c>
      <x:c r="F183" s="21" t="str">
        <x:v>HT-29 2</x:v>
      </x:c>
      <x:c r="G183" s="21" t="str">
        <x:v>treatment</x:v>
      </x:c>
      <x:c r="H183" s="21" t="n">
        <x:v>2</x:v>
      </x:c>
      <x:c r="I183" s="22" t="n">
        <x:v>1.8137</x:v>
      </x:c>
    </x:row>
    <x:row r="184">
      <x:c r="A184" s="20" t="str">
        <x:v>M3</x:v>
      </x:c>
      <x:c r="B184" s="21" t="str">
        <x:v>T12502</x:v>
      </x:c>
      <x:c r="C184" s="21" t="str">
        <x:v>PLpro inhibitor</x:v>
      </x:c>
      <x:c r="D184" s="21" t="str">
        <x:v>HT-29</x:v>
      </x:c>
      <x:c r="E184" s="21" t="n">
        <x:v>2</x:v>
      </x:c>
      <x:c r="F184" s="21" t="str">
        <x:v>HT-29 2</x:v>
      </x:c>
      <x:c r="G184" s="21" t="str">
        <x:v>treatment</x:v>
      </x:c>
      <x:c r="H184" s="21" t="n">
        <x:v>3</x:v>
      </x:c>
      <x:c r="I184" s="22" t="n">
        <x:v>1.8327</x:v>
      </x:c>
    </x:row>
    <x:row r="185">
      <x:c r="A185" s="20" t="str">
        <x:v>M3</x:v>
      </x:c>
      <x:c r="B185" s="21" t="str">
        <x:v>T12502</x:v>
      </x:c>
      <x:c r="C185" s="21" t="str">
        <x:v>PLpro inhibitor</x:v>
      </x:c>
      <x:c r="D185" s="21" t="str">
        <x:v>HT-29</x:v>
      </x:c>
      <x:c r="E185" s="21" t="n">
        <x:v>2</x:v>
      </x:c>
      <x:c r="F185" s="21" t="str">
        <x:v>HT-29 2</x:v>
      </x:c>
      <x:c r="G185" s="21" t="str">
        <x:v>normalization_reference</x:v>
      </x:c>
      <x:c r="H185" s="21" t="n">
        <x:v>1</x:v>
      </x:c>
      <x:c r="I185" s="22" t="n">
        <x:v>2.0179</x:v>
      </x:c>
    </x:row>
    <x:row r="186">
      <x:c r="A186" s="20" t="str">
        <x:v>M3</x:v>
      </x:c>
      <x:c r="B186" s="21" t="str">
        <x:v>T12502</x:v>
      </x:c>
      <x:c r="C186" s="21" t="str">
        <x:v>PLpro inhibitor</x:v>
      </x:c>
      <x:c r="D186" s="21" t="str">
        <x:v>HT-29</x:v>
      </x:c>
      <x:c r="E186" s="21" t="n">
        <x:v>2</x:v>
      </x:c>
      <x:c r="F186" s="21" t="str">
        <x:v>HT-29 2</x:v>
      </x:c>
      <x:c r="G186" s="21" t="str">
        <x:v>normalization_reference</x:v>
      </x:c>
      <x:c r="H186" s="21" t="n">
        <x:v>2</x:v>
      </x:c>
      <x:c r="I186" s="22" t="n">
        <x:v>1.8466</x:v>
      </x:c>
    </x:row>
    <x:row r="187">
      <x:c r="A187" s="20" t="str">
        <x:v>M3</x:v>
      </x:c>
      <x:c r="B187" s="21" t="str">
        <x:v>T12502</x:v>
      </x:c>
      <x:c r="C187" s="21" t="str">
        <x:v>PLpro inhibitor</x:v>
      </x:c>
      <x:c r="D187" s="21" t="str">
        <x:v>HT-29</x:v>
      </x:c>
      <x:c r="E187" s="21" t="n">
        <x:v>2</x:v>
      </x:c>
      <x:c r="F187" s="21" t="str">
        <x:v>HT-29 2</x:v>
      </x:c>
      <x:c r="G187" s="21" t="str">
        <x:v>normalization_reference</x:v>
      </x:c>
      <x:c r="H187" s="21" t="n">
        <x:v>3</x:v>
      </x:c>
      <x:c r="I187" s="22" t="n">
        <x:v>1.8658</x:v>
      </x:c>
    </x:row>
    <x:row r="188">
      <x:c r="A188" s="20" t="str">
        <x:v>M3</x:v>
      </x:c>
      <x:c r="B188" s="21" t="str">
        <x:v>T12502</x:v>
      </x:c>
      <x:c r="C188" s="21" t="str">
        <x:v>PLpro inhibitor</x:v>
      </x:c>
      <x:c r="D188" s="21" t="str">
        <x:v>HT-29</x:v>
      </x:c>
      <x:c r="E188" s="21" t="n">
        <x:v>2</x:v>
      </x:c>
      <x:c r="F188" s="21" t="str">
        <x:v>HT-29 2</x:v>
      </x:c>
      <x:c r="G188" s="21" t="str">
        <x:v>blank</x:v>
      </x:c>
      <x:c r="H188" s="21" t="n">
        <x:v>1</x:v>
      </x:c>
      <x:c r="I188" s="22" t="n">
        <x:v>0.1952</x:v>
      </x:c>
    </x:row>
    <x:row r="189">
      <x:c r="A189" s="20" t="str">
        <x:v>M3</x:v>
      </x:c>
      <x:c r="B189" s="21" t="str">
        <x:v>T12502</x:v>
      </x:c>
      <x:c r="C189" s="21" t="str">
        <x:v>PLpro inhibitor</x:v>
      </x:c>
      <x:c r="D189" s="21" t="str">
        <x:v>HT-29</x:v>
      </x:c>
      <x:c r="E189" s="21" t="n">
        <x:v>2</x:v>
      </x:c>
      <x:c r="F189" s="21" t="str">
        <x:v>HT-29 2</x:v>
      </x:c>
      <x:c r="G189" s="21" t="str">
        <x:v>blank</x:v>
      </x:c>
      <x:c r="H189" s="21" t="n">
        <x:v>2</x:v>
      </x:c>
      <x:c r="I189" s="22" t="n">
        <x:v>0.1847</x:v>
      </x:c>
    </x:row>
    <x:row r="190">
      <x:c r="A190" s="20" t="str">
        <x:v>M3</x:v>
      </x:c>
      <x:c r="B190" s="21" t="str">
        <x:v>T12502</x:v>
      </x:c>
      <x:c r="C190" s="21" t="str">
        <x:v>PLpro inhibitor</x:v>
      </x:c>
      <x:c r="D190" s="21" t="str">
        <x:v>HT-29</x:v>
      </x:c>
      <x:c r="E190" s="21" t="n">
        <x:v>2</x:v>
      </x:c>
      <x:c r="F190" s="21" t="str">
        <x:v>HT-29 2</x:v>
      </x:c>
      <x:c r="G190" s="21" t="str">
        <x:v>blank</x:v>
      </x:c>
      <x:c r="H190" s="21" t="n">
        <x:v>3</x:v>
      </x:c>
      <x:c r="I190" s="22" t="n">
        <x:v>0.1932</x:v>
      </x:c>
    </x:row>
    <x:row r="191">
      <x:c r="A191" s="20" t="str">
        <x:v>M4</x:v>
      </x:c>
      <x:c r="B191" s="21" t="str">
        <x:v>T6853</x:v>
      </x:c>
      <x:c r="C191" s="21" t="str">
        <x:v>GSK591</x:v>
      </x:c>
      <x:c r="D191" s="21" t="str">
        <x:v>HT-29</x:v>
      </x:c>
      <x:c r="E191" s="21" t="n">
        <x:v>2</x:v>
      </x:c>
      <x:c r="F191" s="21" t="str">
        <x:v>HT-29 2</x:v>
      </x:c>
      <x:c r="G191" s="21" t="str">
        <x:v>treatment</x:v>
      </x:c>
      <x:c r="H191" s="21" t="n">
        <x:v>1</x:v>
      </x:c>
      <x:c r="I191" s="22" t="n">
        <x:v>1.4457</x:v>
      </x:c>
    </x:row>
    <x:row r="192">
      <x:c r="A192" s="20" t="str">
        <x:v>M4</x:v>
      </x:c>
      <x:c r="B192" s="21" t="str">
        <x:v>T6853</x:v>
      </x:c>
      <x:c r="C192" s="21" t="str">
        <x:v>GSK591</x:v>
      </x:c>
      <x:c r="D192" s="21" t="str">
        <x:v>HT-29</x:v>
      </x:c>
      <x:c r="E192" s="21" t="n">
        <x:v>2</x:v>
      </x:c>
      <x:c r="F192" s="21" t="str">
        <x:v>HT-29 2</x:v>
      </x:c>
      <x:c r="G192" s="21" t="str">
        <x:v>treatment</x:v>
      </x:c>
      <x:c r="H192" s="21" t="n">
        <x:v>2</x:v>
      </x:c>
      <x:c r="I192" s="22" t="n">
        <x:v>1.6134</x:v>
      </x:c>
    </x:row>
    <x:row r="193">
      <x:c r="A193" s="20" t="str">
        <x:v>M4</x:v>
      </x:c>
      <x:c r="B193" s="21" t="str">
        <x:v>T6853</x:v>
      </x:c>
      <x:c r="C193" s="21" t="str">
        <x:v>GSK591</x:v>
      </x:c>
      <x:c r="D193" s="21" t="str">
        <x:v>HT-29</x:v>
      </x:c>
      <x:c r="E193" s="21" t="n">
        <x:v>2</x:v>
      </x:c>
      <x:c r="F193" s="21" t="str">
        <x:v>HT-29 2</x:v>
      </x:c>
      <x:c r="G193" s="21" t="str">
        <x:v>treatment</x:v>
      </x:c>
      <x:c r="H193" s="21" t="n">
        <x:v>3</x:v>
      </x:c>
      <x:c r="I193" s="22" t="n">
        <x:v>1.6367</x:v>
      </x:c>
    </x:row>
    <x:row r="194">
      <x:c r="A194" s="20" t="str">
        <x:v>M4</x:v>
      </x:c>
      <x:c r="B194" s="21" t="str">
        <x:v>T6853</x:v>
      </x:c>
      <x:c r="C194" s="21" t="str">
        <x:v>GSK591</x:v>
      </x:c>
      <x:c r="D194" s="21" t="str">
        <x:v>HT-29</x:v>
      </x:c>
      <x:c r="E194" s="21" t="n">
        <x:v>2</x:v>
      </x:c>
      <x:c r="F194" s="21" t="str">
        <x:v>HT-29 2</x:v>
      </x:c>
      <x:c r="G194" s="21" t="str">
        <x:v>normalization_reference</x:v>
      </x:c>
      <x:c r="H194" s="21" t="n">
        <x:v>1</x:v>
      </x:c>
      <x:c r="I194" s="22" t="n">
        <x:v>2.0179</x:v>
      </x:c>
    </x:row>
    <x:row r="195">
      <x:c r="A195" s="20" t="str">
        <x:v>M4</x:v>
      </x:c>
      <x:c r="B195" s="21" t="str">
        <x:v>T6853</x:v>
      </x:c>
      <x:c r="C195" s="21" t="str">
        <x:v>GSK591</x:v>
      </x:c>
      <x:c r="D195" s="21" t="str">
        <x:v>HT-29</x:v>
      </x:c>
      <x:c r="E195" s="21" t="n">
        <x:v>2</x:v>
      </x:c>
      <x:c r="F195" s="21" t="str">
        <x:v>HT-29 2</x:v>
      </x:c>
      <x:c r="G195" s="21" t="str">
        <x:v>normalization_reference</x:v>
      </x:c>
      <x:c r="H195" s="21" t="n">
        <x:v>2</x:v>
      </x:c>
      <x:c r="I195" s="22" t="n">
        <x:v>1.8466</x:v>
      </x:c>
    </x:row>
    <x:row r="196">
      <x:c r="A196" s="20" t="str">
        <x:v>M4</x:v>
      </x:c>
      <x:c r="B196" s="21" t="str">
        <x:v>T6853</x:v>
      </x:c>
      <x:c r="C196" s="21" t="str">
        <x:v>GSK591</x:v>
      </x:c>
      <x:c r="D196" s="21" t="str">
        <x:v>HT-29</x:v>
      </x:c>
      <x:c r="E196" s="21" t="n">
        <x:v>2</x:v>
      </x:c>
      <x:c r="F196" s="21" t="str">
        <x:v>HT-29 2</x:v>
      </x:c>
      <x:c r="G196" s="21" t="str">
        <x:v>normalization_reference</x:v>
      </x:c>
      <x:c r="H196" s="21" t="n">
        <x:v>3</x:v>
      </x:c>
      <x:c r="I196" s="22" t="n">
        <x:v>1.8658</x:v>
      </x:c>
    </x:row>
    <x:row r="197">
      <x:c r="A197" s="20" t="str">
        <x:v>M4</x:v>
      </x:c>
      <x:c r="B197" s="21" t="str">
        <x:v>T6853</x:v>
      </x:c>
      <x:c r="C197" s="21" t="str">
        <x:v>GSK591</x:v>
      </x:c>
      <x:c r="D197" s="21" t="str">
        <x:v>HT-29</x:v>
      </x:c>
      <x:c r="E197" s="21" t="n">
        <x:v>2</x:v>
      </x:c>
      <x:c r="F197" s="21" t="str">
        <x:v>HT-29 2</x:v>
      </x:c>
      <x:c r="G197" s="21" t="str">
        <x:v>blank</x:v>
      </x:c>
      <x:c r="H197" s="21" t="n">
        <x:v>1</x:v>
      </x:c>
      <x:c r="I197" s="22" t="n">
        <x:v>0.1952</x:v>
      </x:c>
    </x:row>
    <x:row r="198">
      <x:c r="A198" s="20" t="str">
        <x:v>M4</x:v>
      </x:c>
      <x:c r="B198" s="21" t="str">
        <x:v>T6853</x:v>
      </x:c>
      <x:c r="C198" s="21" t="str">
        <x:v>GSK591</x:v>
      </x:c>
      <x:c r="D198" s="21" t="str">
        <x:v>HT-29</x:v>
      </x:c>
      <x:c r="E198" s="21" t="n">
        <x:v>2</x:v>
      </x:c>
      <x:c r="F198" s="21" t="str">
        <x:v>HT-29 2</x:v>
      </x:c>
      <x:c r="G198" s="21" t="str">
        <x:v>blank</x:v>
      </x:c>
      <x:c r="H198" s="21" t="n">
        <x:v>2</x:v>
      </x:c>
      <x:c r="I198" s="22" t="n">
        <x:v>0.1847</x:v>
      </x:c>
    </x:row>
    <x:row r="199">
      <x:c r="A199" s="20" t="str">
        <x:v>M4</x:v>
      </x:c>
      <x:c r="B199" s="21" t="str">
        <x:v>T6853</x:v>
      </x:c>
      <x:c r="C199" s="21" t="str">
        <x:v>GSK591</x:v>
      </x:c>
      <x:c r="D199" s="21" t="str">
        <x:v>HT-29</x:v>
      </x:c>
      <x:c r="E199" s="21" t="n">
        <x:v>2</x:v>
      </x:c>
      <x:c r="F199" s="21" t="str">
        <x:v>HT-29 2</x:v>
      </x:c>
      <x:c r="G199" s="21" t="str">
        <x:v>blank</x:v>
      </x:c>
      <x:c r="H199" s="21" t="n">
        <x:v>3</x:v>
      </x:c>
      <x:c r="I199" s="22" t="n">
        <x:v>0.1932</x:v>
      </x:c>
    </x:row>
    <x:row r="200">
      <x:c r="A200" s="20" t="str">
        <x:v>M5</x:v>
      </x:c>
      <x:c r="B200" s="21" t="str">
        <x:v>T6980</x:v>
      </x:c>
      <x:c r="C200" s="21" t="str">
        <x:v>Scriptaid</x:v>
      </x:c>
      <x:c r="D200" s="21" t="str">
        <x:v>HT-29</x:v>
      </x:c>
      <x:c r="E200" s="21" t="n">
        <x:v>2</x:v>
      </x:c>
      <x:c r="F200" s="21" t="str">
        <x:v>HT-29 2</x:v>
      </x:c>
      <x:c r="G200" s="21" t="str">
        <x:v>treatment</x:v>
      </x:c>
      <x:c r="H200" s="21" t="n">
        <x:v>1</x:v>
      </x:c>
      <x:c r="I200" s="22" t="n">
        <x:v>0.3842</x:v>
      </x:c>
    </x:row>
    <x:row r="201">
      <x:c r="A201" s="20" t="str">
        <x:v>M5</x:v>
      </x:c>
      <x:c r="B201" s="21" t="str">
        <x:v>T6980</x:v>
      </x:c>
      <x:c r="C201" s="21" t="str">
        <x:v>Scriptaid</x:v>
      </x:c>
      <x:c r="D201" s="21" t="str">
        <x:v>HT-29</x:v>
      </x:c>
      <x:c r="E201" s="21" t="n">
        <x:v>2</x:v>
      </x:c>
      <x:c r="F201" s="21" t="str">
        <x:v>HT-29 2</x:v>
      </x:c>
      <x:c r="G201" s="21" t="str">
        <x:v>treatment</x:v>
      </x:c>
      <x:c r="H201" s="21" t="n">
        <x:v>2</x:v>
      </x:c>
      <x:c r="I201" s="22" t="n">
        <x:v>0.3813</x:v>
      </x:c>
    </x:row>
    <x:row r="202">
      <x:c r="A202" s="20" t="str">
        <x:v>M5</x:v>
      </x:c>
      <x:c r="B202" s="21" t="str">
        <x:v>T6980</x:v>
      </x:c>
      <x:c r="C202" s="21" t="str">
        <x:v>Scriptaid</x:v>
      </x:c>
      <x:c r="D202" s="21" t="str">
        <x:v>HT-29</x:v>
      </x:c>
      <x:c r="E202" s="21" t="n">
        <x:v>2</x:v>
      </x:c>
      <x:c r="F202" s="21" t="str">
        <x:v>HT-29 2</x:v>
      </x:c>
      <x:c r="G202" s="21" t="str">
        <x:v>treatment</x:v>
      </x:c>
      <x:c r="H202" s="21" t="n">
        <x:v>3</x:v>
      </x:c>
      <x:c r="I202" s="22" t="n">
        <x:v>0.3302</x:v>
      </x:c>
    </x:row>
    <x:row r="203">
      <x:c r="A203" s="20" t="str">
        <x:v>M5</x:v>
      </x:c>
      <x:c r="B203" s="21" t="str">
        <x:v>T6980</x:v>
      </x:c>
      <x:c r="C203" s="21" t="str">
        <x:v>Scriptaid</x:v>
      </x:c>
      <x:c r="D203" s="21" t="str">
        <x:v>HT-29</x:v>
      </x:c>
      <x:c r="E203" s="21" t="n">
        <x:v>2</x:v>
      </x:c>
      <x:c r="F203" s="21" t="str">
        <x:v>HT-29 2</x:v>
      </x:c>
      <x:c r="G203" s="21" t="str">
        <x:v>normalization_reference</x:v>
      </x:c>
      <x:c r="H203" s="21" t="n">
        <x:v>1</x:v>
      </x:c>
      <x:c r="I203" s="22" t="n">
        <x:v>2.0179</x:v>
      </x:c>
    </x:row>
    <x:row r="204">
      <x:c r="A204" s="20" t="str">
        <x:v>M5</x:v>
      </x:c>
      <x:c r="B204" s="21" t="str">
        <x:v>T6980</x:v>
      </x:c>
      <x:c r="C204" s="21" t="str">
        <x:v>Scriptaid</x:v>
      </x:c>
      <x:c r="D204" s="21" t="str">
        <x:v>HT-29</x:v>
      </x:c>
      <x:c r="E204" s="21" t="n">
        <x:v>2</x:v>
      </x:c>
      <x:c r="F204" s="21" t="str">
        <x:v>HT-29 2</x:v>
      </x:c>
      <x:c r="G204" s="21" t="str">
        <x:v>normalization_reference</x:v>
      </x:c>
      <x:c r="H204" s="21" t="n">
        <x:v>2</x:v>
      </x:c>
      <x:c r="I204" s="22" t="n">
        <x:v>1.8466</x:v>
      </x:c>
    </x:row>
    <x:row r="205">
      <x:c r="A205" s="20" t="str">
        <x:v>M5</x:v>
      </x:c>
      <x:c r="B205" s="21" t="str">
        <x:v>T6980</x:v>
      </x:c>
      <x:c r="C205" s="21" t="str">
        <x:v>Scriptaid</x:v>
      </x:c>
      <x:c r="D205" s="21" t="str">
        <x:v>HT-29</x:v>
      </x:c>
      <x:c r="E205" s="21" t="n">
        <x:v>2</x:v>
      </x:c>
      <x:c r="F205" s="21" t="str">
        <x:v>HT-29 2</x:v>
      </x:c>
      <x:c r="G205" s="21" t="str">
        <x:v>normalization_reference</x:v>
      </x:c>
      <x:c r="H205" s="21" t="n">
        <x:v>3</x:v>
      </x:c>
      <x:c r="I205" s="22" t="n">
        <x:v>1.8658</x:v>
      </x:c>
    </x:row>
    <x:row r="206">
      <x:c r="A206" s="20" t="str">
        <x:v>M5</x:v>
      </x:c>
      <x:c r="B206" s="21" t="str">
        <x:v>T6980</x:v>
      </x:c>
      <x:c r="C206" s="21" t="str">
        <x:v>Scriptaid</x:v>
      </x:c>
      <x:c r="D206" s="21" t="str">
        <x:v>HT-29</x:v>
      </x:c>
      <x:c r="E206" s="21" t="n">
        <x:v>2</x:v>
      </x:c>
      <x:c r="F206" s="21" t="str">
        <x:v>HT-29 2</x:v>
      </x:c>
      <x:c r="G206" s="21" t="str">
        <x:v>blank</x:v>
      </x:c>
      <x:c r="H206" s="21" t="n">
        <x:v>1</x:v>
      </x:c>
      <x:c r="I206" s="22" t="n">
        <x:v>0.1952</x:v>
      </x:c>
    </x:row>
    <x:row r="207">
      <x:c r="A207" s="20" t="str">
        <x:v>M5</x:v>
      </x:c>
      <x:c r="B207" s="21" t="str">
        <x:v>T6980</x:v>
      </x:c>
      <x:c r="C207" s="21" t="str">
        <x:v>Scriptaid</x:v>
      </x:c>
      <x:c r="D207" s="21" t="str">
        <x:v>HT-29</x:v>
      </x:c>
      <x:c r="E207" s="21" t="n">
        <x:v>2</x:v>
      </x:c>
      <x:c r="F207" s="21" t="str">
        <x:v>HT-29 2</x:v>
      </x:c>
      <x:c r="G207" s="21" t="str">
        <x:v>blank</x:v>
      </x:c>
      <x:c r="H207" s="21" t="n">
        <x:v>2</x:v>
      </x:c>
      <x:c r="I207" s="22" t="n">
        <x:v>0.1847</x:v>
      </x:c>
    </x:row>
    <x:row r="208">
      <x:c r="A208" s="20" t="str">
        <x:v>M5</x:v>
      </x:c>
      <x:c r="B208" s="21" t="str">
        <x:v>T6980</x:v>
      </x:c>
      <x:c r="C208" s="21" t="str">
        <x:v>Scriptaid</x:v>
      </x:c>
      <x:c r="D208" s="21" t="str">
        <x:v>HT-29</x:v>
      </x:c>
      <x:c r="E208" s="21" t="n">
        <x:v>2</x:v>
      </x:c>
      <x:c r="F208" s="21" t="str">
        <x:v>HT-29 2</x:v>
      </x:c>
      <x:c r="G208" s="21" t="str">
        <x:v>blank</x:v>
      </x:c>
      <x:c r="H208" s="21" t="n">
        <x:v>3</x:v>
      </x:c>
      <x:c r="I208" s="22" t="n">
        <x:v>0.1932</x:v>
      </x:c>
    </x:row>
    <x:row r="209">
      <x:c r="A209" s="20" t="str">
        <x:v>M6</x:v>
      </x:c>
      <x:c r="B209" s="21" t="str">
        <x:v>T60904</x:v>
      </x:c>
      <x:c r="C209" s="21" t="str">
        <x:v>ERCC1-XPF-IN-2</x:v>
      </x:c>
      <x:c r="D209" s="21" t="str">
        <x:v>HT-29</x:v>
      </x:c>
      <x:c r="E209" s="21" t="n">
        <x:v>2</x:v>
      </x:c>
      <x:c r="F209" s="21" t="str">
        <x:v>HT-29 2</x:v>
      </x:c>
      <x:c r="G209" s="21" t="str">
        <x:v>treatment</x:v>
      </x:c>
      <x:c r="H209" s="21" t="n">
        <x:v>1</x:v>
      </x:c>
      <x:c r="I209" s="22" t="n">
        <x:v>1.8353</x:v>
      </x:c>
    </x:row>
    <x:row r="210">
      <x:c r="A210" s="20" t="str">
        <x:v>M6</x:v>
      </x:c>
      <x:c r="B210" s="21" t="str">
        <x:v>T60904</x:v>
      </x:c>
      <x:c r="C210" s="21" t="str">
        <x:v>ERCC1-XPF-IN-2</x:v>
      </x:c>
      <x:c r="D210" s="21" t="str">
        <x:v>HT-29</x:v>
      </x:c>
      <x:c r="E210" s="21" t="n">
        <x:v>2</x:v>
      </x:c>
      <x:c r="F210" s="21" t="str">
        <x:v>HT-29 2</x:v>
      </x:c>
      <x:c r="G210" s="21" t="str">
        <x:v>treatment</x:v>
      </x:c>
      <x:c r="H210" s="21" t="n">
        <x:v>2</x:v>
      </x:c>
      <x:c r="I210" s="22" t="n">
        <x:v>1.9799</x:v>
      </x:c>
    </x:row>
    <x:row r="211">
      <x:c r="A211" s="20" t="str">
        <x:v>M6</x:v>
      </x:c>
      <x:c r="B211" s="21" t="str">
        <x:v>T60904</x:v>
      </x:c>
      <x:c r="C211" s="21" t="str">
        <x:v>ERCC1-XPF-IN-2</x:v>
      </x:c>
      <x:c r="D211" s="21" t="str">
        <x:v>HT-29</x:v>
      </x:c>
      <x:c r="E211" s="21" t="n">
        <x:v>2</x:v>
      </x:c>
      <x:c r="F211" s="21" t="str">
        <x:v>HT-29 2</x:v>
      </x:c>
      <x:c r="G211" s="21" t="str">
        <x:v>treatment</x:v>
      </x:c>
      <x:c r="H211" s="21" t="n">
        <x:v>3</x:v>
      </x:c>
      <x:c r="I211" s="22" t="n">
        <x:v>1.919</x:v>
      </x:c>
    </x:row>
    <x:row r="212">
      <x:c r="A212" s="20" t="str">
        <x:v>M6</x:v>
      </x:c>
      <x:c r="B212" s="21" t="str">
        <x:v>T60904</x:v>
      </x:c>
      <x:c r="C212" s="21" t="str">
        <x:v>ERCC1-XPF-IN-2</x:v>
      </x:c>
      <x:c r="D212" s="21" t="str">
        <x:v>HT-29</x:v>
      </x:c>
      <x:c r="E212" s="21" t="n">
        <x:v>2</x:v>
      </x:c>
      <x:c r="F212" s="21" t="str">
        <x:v>HT-29 2</x:v>
      </x:c>
      <x:c r="G212" s="21" t="str">
        <x:v>normalization_reference</x:v>
      </x:c>
      <x:c r="H212" s="21" t="n">
        <x:v>1</x:v>
      </x:c>
      <x:c r="I212" s="22" t="n">
        <x:v>2.0179</x:v>
      </x:c>
    </x:row>
    <x:row r="213">
      <x:c r="A213" s="20" t="str">
        <x:v>M6</x:v>
      </x:c>
      <x:c r="B213" s="21" t="str">
        <x:v>T60904</x:v>
      </x:c>
      <x:c r="C213" s="21" t="str">
        <x:v>ERCC1-XPF-IN-2</x:v>
      </x:c>
      <x:c r="D213" s="21" t="str">
        <x:v>HT-29</x:v>
      </x:c>
      <x:c r="E213" s="21" t="n">
        <x:v>2</x:v>
      </x:c>
      <x:c r="F213" s="21" t="str">
        <x:v>HT-29 2</x:v>
      </x:c>
      <x:c r="G213" s="21" t="str">
        <x:v>normalization_reference</x:v>
      </x:c>
      <x:c r="H213" s="21" t="n">
        <x:v>2</x:v>
      </x:c>
      <x:c r="I213" s="22" t="n">
        <x:v>1.8466</x:v>
      </x:c>
    </x:row>
    <x:row r="214">
      <x:c r="A214" s="20" t="str">
        <x:v>M6</x:v>
      </x:c>
      <x:c r="B214" s="21" t="str">
        <x:v>T60904</x:v>
      </x:c>
      <x:c r="C214" s="21" t="str">
        <x:v>ERCC1-XPF-IN-2</x:v>
      </x:c>
      <x:c r="D214" s="21" t="str">
        <x:v>HT-29</x:v>
      </x:c>
      <x:c r="E214" s="21" t="n">
        <x:v>2</x:v>
      </x:c>
      <x:c r="F214" s="21" t="str">
        <x:v>HT-29 2</x:v>
      </x:c>
      <x:c r="G214" s="21" t="str">
        <x:v>normalization_reference</x:v>
      </x:c>
      <x:c r="H214" s="21" t="n">
        <x:v>3</x:v>
      </x:c>
      <x:c r="I214" s="22" t="n">
        <x:v>1.8658</x:v>
      </x:c>
    </x:row>
    <x:row r="215">
      <x:c r="A215" s="20" t="str">
        <x:v>M6</x:v>
      </x:c>
      <x:c r="B215" s="21" t="str">
        <x:v>T60904</x:v>
      </x:c>
      <x:c r="C215" s="21" t="str">
        <x:v>ERCC1-XPF-IN-2</x:v>
      </x:c>
      <x:c r="D215" s="21" t="str">
        <x:v>HT-29</x:v>
      </x:c>
      <x:c r="E215" s="21" t="n">
        <x:v>2</x:v>
      </x:c>
      <x:c r="F215" s="21" t="str">
        <x:v>HT-29 2</x:v>
      </x:c>
      <x:c r="G215" s="21" t="str">
        <x:v>blank</x:v>
      </x:c>
      <x:c r="H215" s="21" t="n">
        <x:v>1</x:v>
      </x:c>
      <x:c r="I215" s="22" t="n">
        <x:v>0.1952</x:v>
      </x:c>
    </x:row>
    <x:row r="216">
      <x:c r="A216" s="20" t="str">
        <x:v>M6</x:v>
      </x:c>
      <x:c r="B216" s="21" t="str">
        <x:v>T60904</x:v>
      </x:c>
      <x:c r="C216" s="21" t="str">
        <x:v>ERCC1-XPF-IN-2</x:v>
      </x:c>
      <x:c r="D216" s="21" t="str">
        <x:v>HT-29</x:v>
      </x:c>
      <x:c r="E216" s="21" t="n">
        <x:v>2</x:v>
      </x:c>
      <x:c r="F216" s="21" t="str">
        <x:v>HT-29 2</x:v>
      </x:c>
      <x:c r="G216" s="21" t="str">
        <x:v>blank</x:v>
      </x:c>
      <x:c r="H216" s="21" t="n">
        <x:v>2</x:v>
      </x:c>
      <x:c r="I216" s="22" t="n">
        <x:v>0.1847</x:v>
      </x:c>
    </x:row>
    <x:row r="217">
      <x:c r="A217" s="20" t="str">
        <x:v>M6</x:v>
      </x:c>
      <x:c r="B217" s="21" t="str">
        <x:v>T60904</x:v>
      </x:c>
      <x:c r="C217" s="21" t="str">
        <x:v>ERCC1-XPF-IN-2</x:v>
      </x:c>
      <x:c r="D217" s="21" t="str">
        <x:v>HT-29</x:v>
      </x:c>
      <x:c r="E217" s="21" t="n">
        <x:v>2</x:v>
      </x:c>
      <x:c r="F217" s="21" t="str">
        <x:v>HT-29 2</x:v>
      </x:c>
      <x:c r="G217" s="21" t="str">
        <x:v>blank</x:v>
      </x:c>
      <x:c r="H217" s="21" t="n">
        <x:v>3</x:v>
      </x:c>
      <x:c r="I217" s="22" t="n">
        <x:v>0.1932</x:v>
      </x:c>
    </x:row>
    <x:row r="218">
      <x:c r="A218" s="20" t="str">
        <x:v>M1</x:v>
      </x:c>
      <x:c r="B218" s="21" t="str">
        <x:v>T9335</x:v>
      </x:c>
      <x:c r="C218" s="21" t="str">
        <x:v>1,1'-Methylenedi-2-naphthol</x:v>
      </x:c>
      <x:c r="D218" s="21" t="str">
        <x:v>SW480</x:v>
      </x:c>
      <x:c r="E218" s="21" t="n">
        <x:v>1</x:v>
      </x:c>
      <x:c r="F218" s="21" t="str">
        <x:v>SW480 1</x:v>
      </x:c>
      <x:c r="G218" s="21" t="str">
        <x:v>treatment</x:v>
      </x:c>
      <x:c r="H218" s="21" t="n">
        <x:v>1</x:v>
      </x:c>
      <x:c r="I218" s="22" t="n">
        <x:v>0.9403</x:v>
      </x:c>
    </x:row>
    <x:row r="219">
      <x:c r="A219" s="20" t="str">
        <x:v>M1</x:v>
      </x:c>
      <x:c r="B219" s="21" t="str">
        <x:v>T9335</x:v>
      </x:c>
      <x:c r="C219" s="21" t="str">
        <x:v>1,1'-Methylenedi-2-naphthol</x:v>
      </x:c>
      <x:c r="D219" s="21" t="str">
        <x:v>SW480</x:v>
      </x:c>
      <x:c r="E219" s="21" t="n">
        <x:v>1</x:v>
      </x:c>
      <x:c r="F219" s="21" t="str">
        <x:v>SW480 1</x:v>
      </x:c>
      <x:c r="G219" s="21" t="str">
        <x:v>treatment</x:v>
      </x:c>
      <x:c r="H219" s="21" t="n">
        <x:v>2</x:v>
      </x:c>
      <x:c r="I219" s="22" t="n">
        <x:v>0.9325</x:v>
      </x:c>
    </x:row>
    <x:row r="220">
      <x:c r="A220" s="20" t="str">
        <x:v>M1</x:v>
      </x:c>
      <x:c r="B220" s="21" t="str">
        <x:v>T9335</x:v>
      </x:c>
      <x:c r="C220" s="21" t="str">
        <x:v>1,1'-Methylenedi-2-naphthol</x:v>
      </x:c>
      <x:c r="D220" s="21" t="str">
        <x:v>SW480</x:v>
      </x:c>
      <x:c r="E220" s="21" t="n">
        <x:v>1</x:v>
      </x:c>
      <x:c r="F220" s="21" t="str">
        <x:v>SW480 1</x:v>
      </x:c>
      <x:c r="G220" s="21" t="str">
        <x:v>treatment</x:v>
      </x:c>
      <x:c r="H220" s="21" t="n">
        <x:v>3</x:v>
      </x:c>
      <x:c r="I220" s="22" t="n">
        <x:v>0.9319</x:v>
      </x:c>
    </x:row>
    <x:row r="221">
      <x:c r="A221" s="20" t="str">
        <x:v>M1</x:v>
      </x:c>
      <x:c r="B221" s="21" t="str">
        <x:v>T9335</x:v>
      </x:c>
      <x:c r="C221" s="21" t="str">
        <x:v>1,1'-Methylenedi-2-naphthol</x:v>
      </x:c>
      <x:c r="D221" s="21" t="str">
        <x:v>SW480</x:v>
      </x:c>
      <x:c r="E221" s="21" t="n">
        <x:v>1</x:v>
      </x:c>
      <x:c r="F221" s="21" t="str">
        <x:v>SW480 1</x:v>
      </x:c>
      <x:c r="G221" s="21" t="str">
        <x:v>normalization_reference</x:v>
      </x:c>
      <x:c r="H221" s="21" t="n">
        <x:v>1</x:v>
      </x:c>
      <x:c r="I221" s="22" t="n">
        <x:v>1.183</x:v>
      </x:c>
    </x:row>
    <x:row r="222">
      <x:c r="A222" s="20" t="str">
        <x:v>M1</x:v>
      </x:c>
      <x:c r="B222" s="21" t="str">
        <x:v>T9335</x:v>
      </x:c>
      <x:c r="C222" s="21" t="str">
        <x:v>1,1'-Methylenedi-2-naphthol</x:v>
      </x:c>
      <x:c r="D222" s="21" t="str">
        <x:v>SW480</x:v>
      </x:c>
      <x:c r="E222" s="21" t="n">
        <x:v>1</x:v>
      </x:c>
      <x:c r="F222" s="21" t="str">
        <x:v>SW480 1</x:v>
      </x:c>
      <x:c r="G222" s="21" t="str">
        <x:v>normalization_reference</x:v>
      </x:c>
      <x:c r="H222" s="21" t="n">
        <x:v>2</x:v>
      </x:c>
      <x:c r="I222" s="22" t="n">
        <x:v>1.1657</x:v>
      </x:c>
    </x:row>
    <x:row r="223">
      <x:c r="A223" s="20" t="str">
        <x:v>M1</x:v>
      </x:c>
      <x:c r="B223" s="21" t="str">
        <x:v>T9335</x:v>
      </x:c>
      <x:c r="C223" s="21" t="str">
        <x:v>1,1'-Methylenedi-2-naphthol</x:v>
      </x:c>
      <x:c r="D223" s="21" t="str">
        <x:v>SW480</x:v>
      </x:c>
      <x:c r="E223" s="21" t="n">
        <x:v>1</x:v>
      </x:c>
      <x:c r="F223" s="21" t="str">
        <x:v>SW480 1</x:v>
      </x:c>
      <x:c r="G223" s="21" t="str">
        <x:v>normalization_reference</x:v>
      </x:c>
      <x:c r="H223" s="21" t="n">
        <x:v>3</x:v>
      </x:c>
      <x:c r="I223" s="22" t="n">
        <x:v>1.154</x:v>
      </x:c>
    </x:row>
    <x:row r="224">
      <x:c r="A224" s="20" t="str">
        <x:v>M1</x:v>
      </x:c>
      <x:c r="B224" s="21" t="str">
        <x:v>T9335</x:v>
      </x:c>
      <x:c r="C224" s="21" t="str">
        <x:v>1,1'-Methylenedi-2-naphthol</x:v>
      </x:c>
      <x:c r="D224" s="21" t="str">
        <x:v>SW480</x:v>
      </x:c>
      <x:c r="E224" s="21" t="n">
        <x:v>1</x:v>
      </x:c>
      <x:c r="F224" s="21" t="str">
        <x:v>SW480 1</x:v>
      </x:c>
      <x:c r="G224" s="21" t="str">
        <x:v>blank</x:v>
      </x:c>
      <x:c r="H224" s="21" t="n">
        <x:v>1</x:v>
      </x:c>
      <x:c r="I224" s="22" t="n">
        <x:v>0.3476</x:v>
      </x:c>
    </x:row>
    <x:row r="225">
      <x:c r="A225" s="20" t="str">
        <x:v>M1</x:v>
      </x:c>
      <x:c r="B225" s="21" t="str">
        <x:v>T9335</x:v>
      </x:c>
      <x:c r="C225" s="21" t="str">
        <x:v>1,1'-Methylenedi-2-naphthol</x:v>
      </x:c>
      <x:c r="D225" s="21" t="str">
        <x:v>SW480</x:v>
      </x:c>
      <x:c r="E225" s="21" t="n">
        <x:v>1</x:v>
      </x:c>
      <x:c r="F225" s="21" t="str">
        <x:v>SW480 1</x:v>
      </x:c>
      <x:c r="G225" s="21" t="str">
        <x:v>blank</x:v>
      </x:c>
      <x:c r="H225" s="21" t="n">
        <x:v>2</x:v>
      </x:c>
      <x:c r="I225" s="22" t="n">
        <x:v>0.3241</x:v>
      </x:c>
    </x:row>
    <x:row r="226">
      <x:c r="A226" s="20" t="str">
        <x:v>M1</x:v>
      </x:c>
      <x:c r="B226" s="21" t="str">
        <x:v>T9335</x:v>
      </x:c>
      <x:c r="C226" s="21" t="str">
        <x:v>1,1'-Methylenedi-2-naphthol</x:v>
      </x:c>
      <x:c r="D226" s="21" t="str">
        <x:v>SW480</x:v>
      </x:c>
      <x:c r="E226" s="21" t="n">
        <x:v>1</x:v>
      </x:c>
      <x:c r="F226" s="21" t="str">
        <x:v>SW480 1</x:v>
      </x:c>
      <x:c r="G226" s="21" t="str">
        <x:v>blank</x:v>
      </x:c>
      <x:c r="H226" s="21" t="n">
        <x:v>3</x:v>
      </x:c>
      <x:c r="I226" s="22" t="n">
        <x:v>0.3378</x:v>
      </x:c>
    </x:row>
    <x:row r="227">
      <x:c r="A227" s="20" t="str">
        <x:v>M2</x:v>
      </x:c>
      <x:c r="B227" s="21" t="str">
        <x:v>T61189</x:v>
      </x:c>
      <x:c r="C227" s="21" t="str">
        <x:v>E7016</x:v>
      </x:c>
      <x:c r="D227" s="21" t="str">
        <x:v>SW480</x:v>
      </x:c>
      <x:c r="E227" s="21" t="n">
        <x:v>1</x:v>
      </x:c>
      <x:c r="F227" s="21" t="str">
        <x:v>SW480 1</x:v>
      </x:c>
      <x:c r="G227" s="21" t="str">
        <x:v>treatment</x:v>
      </x:c>
      <x:c r="H227" s="21" t="n">
        <x:v>1</x:v>
      </x:c>
      <x:c r="I227" s="22" t="n">
        <x:v>0.7714</x:v>
      </x:c>
    </x:row>
    <x:row r="228">
      <x:c r="A228" s="20" t="str">
        <x:v>M2</x:v>
      </x:c>
      <x:c r="B228" s="21" t="str">
        <x:v>T61189</x:v>
      </x:c>
      <x:c r="C228" s="21" t="str">
        <x:v>E7016</x:v>
      </x:c>
      <x:c r="D228" s="21" t="str">
        <x:v>SW480</x:v>
      </x:c>
      <x:c r="E228" s="21" t="n">
        <x:v>1</x:v>
      </x:c>
      <x:c r="F228" s="21" t="str">
        <x:v>SW480 1</x:v>
      </x:c>
      <x:c r="G228" s="21" t="str">
        <x:v>treatment</x:v>
      </x:c>
      <x:c r="H228" s="21" t="n">
        <x:v>2</x:v>
      </x:c>
      <x:c r="I228" s="22" t="n">
        <x:v>0.773</x:v>
      </x:c>
    </x:row>
    <x:row r="229">
      <x:c r="A229" s="20" t="str">
        <x:v>M2</x:v>
      </x:c>
      <x:c r="B229" s="21" t="str">
        <x:v>T61189</x:v>
      </x:c>
      <x:c r="C229" s="21" t="str">
        <x:v>E7016</x:v>
      </x:c>
      <x:c r="D229" s="21" t="str">
        <x:v>SW480</x:v>
      </x:c>
      <x:c r="E229" s="21" t="n">
        <x:v>1</x:v>
      </x:c>
      <x:c r="F229" s="21" t="str">
        <x:v>SW480 1</x:v>
      </x:c>
      <x:c r="G229" s="21" t="str">
        <x:v>treatment</x:v>
      </x:c>
      <x:c r="H229" s="21" t="n">
        <x:v>3</x:v>
      </x:c>
      <x:c r="I229" s="22" t="n">
        <x:v>0.7877</x:v>
      </x:c>
    </x:row>
    <x:row r="230">
      <x:c r="A230" s="20" t="str">
        <x:v>M2</x:v>
      </x:c>
      <x:c r="B230" s="21" t="str">
        <x:v>T61189</x:v>
      </x:c>
      <x:c r="C230" s="21" t="str">
        <x:v>E7016</x:v>
      </x:c>
      <x:c r="D230" s="21" t="str">
        <x:v>SW480</x:v>
      </x:c>
      <x:c r="E230" s="21" t="n">
        <x:v>1</x:v>
      </x:c>
      <x:c r="F230" s="21" t="str">
        <x:v>SW480 1</x:v>
      </x:c>
      <x:c r="G230" s="21" t="str">
        <x:v>normalization_reference</x:v>
      </x:c>
      <x:c r="H230" s="21" t="n">
        <x:v>1</x:v>
      </x:c>
      <x:c r="I230" s="22" t="n">
        <x:v>1.183</x:v>
      </x:c>
    </x:row>
    <x:row r="231">
      <x:c r="A231" s="20" t="str">
        <x:v>M2</x:v>
      </x:c>
      <x:c r="B231" s="21" t="str">
        <x:v>T61189</x:v>
      </x:c>
      <x:c r="C231" s="21" t="str">
        <x:v>E7016</x:v>
      </x:c>
      <x:c r="D231" s="21" t="str">
        <x:v>SW480</x:v>
      </x:c>
      <x:c r="E231" s="21" t="n">
        <x:v>1</x:v>
      </x:c>
      <x:c r="F231" s="21" t="str">
        <x:v>SW480 1</x:v>
      </x:c>
      <x:c r="G231" s="21" t="str">
        <x:v>normalization_reference</x:v>
      </x:c>
      <x:c r="H231" s="21" t="n">
        <x:v>2</x:v>
      </x:c>
      <x:c r="I231" s="22" t="n">
        <x:v>1.1657</x:v>
      </x:c>
    </x:row>
    <x:row r="232">
      <x:c r="A232" s="20" t="str">
        <x:v>M2</x:v>
      </x:c>
      <x:c r="B232" s="21" t="str">
        <x:v>T61189</x:v>
      </x:c>
      <x:c r="C232" s="21" t="str">
        <x:v>E7016</x:v>
      </x:c>
      <x:c r="D232" s="21" t="str">
        <x:v>SW480</x:v>
      </x:c>
      <x:c r="E232" s="21" t="n">
        <x:v>1</x:v>
      </x:c>
      <x:c r="F232" s="21" t="str">
        <x:v>SW480 1</x:v>
      </x:c>
      <x:c r="G232" s="21" t="str">
        <x:v>normalization_reference</x:v>
      </x:c>
      <x:c r="H232" s="21" t="n">
        <x:v>3</x:v>
      </x:c>
      <x:c r="I232" s="22" t="n">
        <x:v>1.154</x:v>
      </x:c>
    </x:row>
    <x:row r="233">
      <x:c r="A233" s="20" t="str">
        <x:v>M2</x:v>
      </x:c>
      <x:c r="B233" s="21" t="str">
        <x:v>T61189</x:v>
      </x:c>
      <x:c r="C233" s="21" t="str">
        <x:v>E7016</x:v>
      </x:c>
      <x:c r="D233" s="21" t="str">
        <x:v>SW480</x:v>
      </x:c>
      <x:c r="E233" s="21" t="n">
        <x:v>1</x:v>
      </x:c>
      <x:c r="F233" s="21" t="str">
        <x:v>SW480 1</x:v>
      </x:c>
      <x:c r="G233" s="21" t="str">
        <x:v>blank</x:v>
      </x:c>
      <x:c r="H233" s="21" t="n">
        <x:v>1</x:v>
      </x:c>
      <x:c r="I233" s="22" t="n">
        <x:v>0.3476</x:v>
      </x:c>
    </x:row>
    <x:row r="234">
      <x:c r="A234" s="20" t="str">
        <x:v>M2</x:v>
      </x:c>
      <x:c r="B234" s="21" t="str">
        <x:v>T61189</x:v>
      </x:c>
      <x:c r="C234" s="21" t="str">
        <x:v>E7016</x:v>
      </x:c>
      <x:c r="D234" s="21" t="str">
        <x:v>SW480</x:v>
      </x:c>
      <x:c r="E234" s="21" t="n">
        <x:v>1</x:v>
      </x:c>
      <x:c r="F234" s="21" t="str">
        <x:v>SW480 1</x:v>
      </x:c>
      <x:c r="G234" s="21" t="str">
        <x:v>blank</x:v>
      </x:c>
      <x:c r="H234" s="21" t="n">
        <x:v>2</x:v>
      </x:c>
      <x:c r="I234" s="22" t="n">
        <x:v>0.3241</x:v>
      </x:c>
    </x:row>
    <x:row r="235">
      <x:c r="A235" s="20" t="str">
        <x:v>M2</x:v>
      </x:c>
      <x:c r="B235" s="21" t="str">
        <x:v>T61189</x:v>
      </x:c>
      <x:c r="C235" s="21" t="str">
        <x:v>E7016</x:v>
      </x:c>
      <x:c r="D235" s="21" t="str">
        <x:v>SW480</x:v>
      </x:c>
      <x:c r="E235" s="21" t="n">
        <x:v>1</x:v>
      </x:c>
      <x:c r="F235" s="21" t="str">
        <x:v>SW480 1</x:v>
      </x:c>
      <x:c r="G235" s="21" t="str">
        <x:v>blank</x:v>
      </x:c>
      <x:c r="H235" s="21" t="n">
        <x:v>3</x:v>
      </x:c>
      <x:c r="I235" s="22" t="n">
        <x:v>0.3378</x:v>
      </x:c>
    </x:row>
    <x:row r="236">
      <x:c r="A236" s="20" t="str">
        <x:v>M3</x:v>
      </x:c>
      <x:c r="B236" s="21" t="str">
        <x:v>T12502</x:v>
      </x:c>
      <x:c r="C236" s="21" t="str">
        <x:v>PLpro inhibitor</x:v>
      </x:c>
      <x:c r="D236" s="21" t="str">
        <x:v>SW480</x:v>
      </x:c>
      <x:c r="E236" s="21" t="n">
        <x:v>2</x:v>
      </x:c>
      <x:c r="F236" s="21" t="str">
        <x:v>SW480 2</x:v>
      </x:c>
      <x:c r="G236" s="21" t="str">
        <x:v>treatment</x:v>
      </x:c>
      <x:c r="H236" s="21" t="n">
        <x:v>1</x:v>
      </x:c>
      <x:c r="I236" s="22" t="n">
        <x:v>1.0953</x:v>
      </x:c>
    </x:row>
    <x:row r="237">
      <x:c r="A237" s="20" t="str">
        <x:v>M3</x:v>
      </x:c>
      <x:c r="B237" s="21" t="str">
        <x:v>T12502</x:v>
      </x:c>
      <x:c r="C237" s="21" t="str">
        <x:v>PLpro inhibitor</x:v>
      </x:c>
      <x:c r="D237" s="21" t="str">
        <x:v>SW480</x:v>
      </x:c>
      <x:c r="E237" s="21" t="n">
        <x:v>2</x:v>
      </x:c>
      <x:c r="F237" s="21" t="str">
        <x:v>SW480 2</x:v>
      </x:c>
      <x:c r="G237" s="21" t="str">
        <x:v>treatment</x:v>
      </x:c>
      <x:c r="H237" s="21" t="n">
        <x:v>2</x:v>
      </x:c>
      <x:c r="I237" s="22" t="n">
        <x:v>1.1118</x:v>
      </x:c>
    </x:row>
    <x:row r="238">
      <x:c r="A238" s="20" t="str">
        <x:v>M3</x:v>
      </x:c>
      <x:c r="B238" s="21" t="str">
        <x:v>T12502</x:v>
      </x:c>
      <x:c r="C238" s="21" t="str">
        <x:v>PLpro inhibitor</x:v>
      </x:c>
      <x:c r="D238" s="21" t="str">
        <x:v>SW480</x:v>
      </x:c>
      <x:c r="E238" s="21" t="n">
        <x:v>2</x:v>
      </x:c>
      <x:c r="F238" s="21" t="str">
        <x:v>SW480 2</x:v>
      </x:c>
      <x:c r="G238" s="21" t="str">
        <x:v>treatment</x:v>
      </x:c>
      <x:c r="H238" s="21" t="n">
        <x:v>3</x:v>
      </x:c>
      <x:c r="I238" s="22" t="n">
        <x:v>1.1238</x:v>
      </x:c>
    </x:row>
    <x:row r="239">
      <x:c r="A239" s="20" t="str">
        <x:v>M3</x:v>
      </x:c>
      <x:c r="B239" s="21" t="str">
        <x:v>T12502</x:v>
      </x:c>
      <x:c r="C239" s="21" t="str">
        <x:v>PLpro inhibitor</x:v>
      </x:c>
      <x:c r="D239" s="21" t="str">
        <x:v>SW480</x:v>
      </x:c>
      <x:c r="E239" s="21" t="n">
        <x:v>2</x:v>
      </x:c>
      <x:c r="F239" s="21" t="str">
        <x:v>SW480 2</x:v>
      </x:c>
      <x:c r="G239" s="21" t="str">
        <x:v>normalization_reference</x:v>
      </x:c>
      <x:c r="H239" s="21" t="n">
        <x:v>1</x:v>
      </x:c>
      <x:c r="I239" s="22" t="n">
        <x:v>1.1675</x:v>
      </x:c>
    </x:row>
    <x:row r="240">
      <x:c r="A240" s="20" t="str">
        <x:v>M3</x:v>
      </x:c>
      <x:c r="B240" s="21" t="str">
        <x:v>T12502</x:v>
      </x:c>
      <x:c r="C240" s="21" t="str">
        <x:v>PLpro inhibitor</x:v>
      </x:c>
      <x:c r="D240" s="21" t="str">
        <x:v>SW480</x:v>
      </x:c>
      <x:c r="E240" s="21" t="n">
        <x:v>2</x:v>
      </x:c>
      <x:c r="F240" s="21" t="str">
        <x:v>SW480 2</x:v>
      </x:c>
      <x:c r="G240" s="21" t="str">
        <x:v>normalization_reference</x:v>
      </x:c>
      <x:c r="H240" s="21" t="n">
        <x:v>2</x:v>
      </x:c>
      <x:c r="I240" s="22" t="n">
        <x:v>1.1665</x:v>
      </x:c>
    </x:row>
    <x:row r="241">
      <x:c r="A241" s="20" t="str">
        <x:v>M3</x:v>
      </x:c>
      <x:c r="B241" s="21" t="str">
        <x:v>T12502</x:v>
      </x:c>
      <x:c r="C241" s="21" t="str">
        <x:v>PLpro inhibitor</x:v>
      </x:c>
      <x:c r="D241" s="21" t="str">
        <x:v>SW480</x:v>
      </x:c>
      <x:c r="E241" s="21" t="n">
        <x:v>2</x:v>
      </x:c>
      <x:c r="F241" s="21" t="str">
        <x:v>SW480 2</x:v>
      </x:c>
      <x:c r="G241" s="21" t="str">
        <x:v>normalization_reference</x:v>
      </x:c>
      <x:c r="H241" s="21" t="n">
        <x:v>3</x:v>
      </x:c>
      <x:c r="I241" s="22" t="n">
        <x:v>1.1679</x:v>
      </x:c>
    </x:row>
    <x:row r="242">
      <x:c r="A242" s="20" t="str">
        <x:v>M3</x:v>
      </x:c>
      <x:c r="B242" s="21" t="str">
        <x:v>T12502</x:v>
      </x:c>
      <x:c r="C242" s="21" t="str">
        <x:v>PLpro inhibitor</x:v>
      </x:c>
      <x:c r="D242" s="21" t="str">
        <x:v>SW480</x:v>
      </x:c>
      <x:c r="E242" s="21" t="n">
        <x:v>2</x:v>
      </x:c>
      <x:c r="F242" s="21" t="str">
        <x:v>SW480 2</x:v>
      </x:c>
      <x:c r="G242" s="21" t="str">
        <x:v>blank</x:v>
      </x:c>
      <x:c r="H242" s="21" t="n">
        <x:v>1</x:v>
      </x:c>
      <x:c r="I242" s="22" t="n">
        <x:v>0.3461</x:v>
      </x:c>
    </x:row>
    <x:row r="243">
      <x:c r="A243" s="20" t="str">
        <x:v>M3</x:v>
      </x:c>
      <x:c r="B243" s="21" t="str">
        <x:v>T12502</x:v>
      </x:c>
      <x:c r="C243" s="21" t="str">
        <x:v>PLpro inhibitor</x:v>
      </x:c>
      <x:c r="D243" s="21" t="str">
        <x:v>SW480</x:v>
      </x:c>
      <x:c r="E243" s="21" t="n">
        <x:v>2</x:v>
      </x:c>
      <x:c r="F243" s="21" t="str">
        <x:v>SW480 2</x:v>
      </x:c>
      <x:c r="G243" s="21" t="str">
        <x:v>blank</x:v>
      </x:c>
      <x:c r="H243" s="21" t="n">
        <x:v>2</x:v>
      </x:c>
      <x:c r="I243" s="22" t="n">
        <x:v>0.316</x:v>
      </x:c>
    </x:row>
    <x:row r="244">
      <x:c r="A244" s="20" t="str">
        <x:v>M3</x:v>
      </x:c>
      <x:c r="B244" s="21" t="str">
        <x:v>T12502</x:v>
      </x:c>
      <x:c r="C244" s="21" t="str">
        <x:v>PLpro inhibitor</x:v>
      </x:c>
      <x:c r="D244" s="21" t="str">
        <x:v>SW480</x:v>
      </x:c>
      <x:c r="E244" s="21" t="n">
        <x:v>2</x:v>
      </x:c>
      <x:c r="F244" s="21" t="str">
        <x:v>SW480 2</x:v>
      </x:c>
      <x:c r="G244" s="21" t="str">
        <x:v>blank</x:v>
      </x:c>
      <x:c r="H244" s="21" t="n">
        <x:v>3</x:v>
      </x:c>
      <x:c r="I244" s="22" t="n">
        <x:v>0.3284</x:v>
      </x:c>
    </x:row>
    <x:row r="245">
      <x:c r="A245" s="20" t="str">
        <x:v>M4</x:v>
      </x:c>
      <x:c r="B245" s="21" t="str">
        <x:v>T6853</x:v>
      </x:c>
      <x:c r="C245" s="21" t="str">
        <x:v>GSK591</x:v>
      </x:c>
      <x:c r="D245" s="21" t="str">
        <x:v>SW480</x:v>
      </x:c>
      <x:c r="E245" s="21" t="n">
        <x:v>2</x:v>
      </x:c>
      <x:c r="F245" s="21" t="str">
        <x:v>SW480 2</x:v>
      </x:c>
      <x:c r="G245" s="21" t="str">
        <x:v>treatment</x:v>
      </x:c>
      <x:c r="H245" s="21" t="n">
        <x:v>1</x:v>
      </x:c>
      <x:c r="I245" s="22" t="n">
        <x:v>0.9703</x:v>
      </x:c>
    </x:row>
    <x:row r="246">
      <x:c r="A246" s="20" t="str">
        <x:v>M4</x:v>
      </x:c>
      <x:c r="B246" s="21" t="str">
        <x:v>T6853</x:v>
      </x:c>
      <x:c r="C246" s="21" t="str">
        <x:v>GSK591</x:v>
      </x:c>
      <x:c r="D246" s="21" t="str">
        <x:v>SW480</x:v>
      </x:c>
      <x:c r="E246" s="21" t="n">
        <x:v>2</x:v>
      </x:c>
      <x:c r="F246" s="21" t="str">
        <x:v>SW480 2</x:v>
      </x:c>
      <x:c r="G246" s="21" t="str">
        <x:v>treatment</x:v>
      </x:c>
      <x:c r="H246" s="21" t="n">
        <x:v>2</x:v>
      </x:c>
      <x:c r="I246" s="22" t="n">
        <x:v>1.0821</x:v>
      </x:c>
    </x:row>
    <x:row r="247">
      <x:c r="A247" s="20" t="str">
        <x:v>M4</x:v>
      </x:c>
      <x:c r="B247" s="21" t="str">
        <x:v>T6853</x:v>
      </x:c>
      <x:c r="C247" s="21" t="str">
        <x:v>GSK591</x:v>
      </x:c>
      <x:c r="D247" s="21" t="str">
        <x:v>SW480</x:v>
      </x:c>
      <x:c r="E247" s="21" t="n">
        <x:v>2</x:v>
      </x:c>
      <x:c r="F247" s="21" t="str">
        <x:v>SW480 2</x:v>
      </x:c>
      <x:c r="G247" s="21" t="str">
        <x:v>treatment</x:v>
      </x:c>
      <x:c r="H247" s="21" t="n">
        <x:v>3</x:v>
      </x:c>
      <x:c r="I247" s="22" t="n">
        <x:v>1.0824</x:v>
      </x:c>
    </x:row>
    <x:row r="248">
      <x:c r="A248" s="20" t="str">
        <x:v>M4</x:v>
      </x:c>
      <x:c r="B248" s="21" t="str">
        <x:v>T6853</x:v>
      </x:c>
      <x:c r="C248" s="21" t="str">
        <x:v>GSK591</x:v>
      </x:c>
      <x:c r="D248" s="21" t="str">
        <x:v>SW480</x:v>
      </x:c>
      <x:c r="E248" s="21" t="n">
        <x:v>2</x:v>
      </x:c>
      <x:c r="F248" s="21" t="str">
        <x:v>SW480 2</x:v>
      </x:c>
      <x:c r="G248" s="21" t="str">
        <x:v>normalization_reference</x:v>
      </x:c>
      <x:c r="H248" s="21" t="n">
        <x:v>1</x:v>
      </x:c>
      <x:c r="I248" s="22" t="n">
        <x:v>1.1675</x:v>
      </x:c>
    </x:row>
    <x:row r="249">
      <x:c r="A249" s="20" t="str">
        <x:v>M4</x:v>
      </x:c>
      <x:c r="B249" s="21" t="str">
        <x:v>T6853</x:v>
      </x:c>
      <x:c r="C249" s="21" t="str">
        <x:v>GSK591</x:v>
      </x:c>
      <x:c r="D249" s="21" t="str">
        <x:v>SW480</x:v>
      </x:c>
      <x:c r="E249" s="21" t="n">
        <x:v>2</x:v>
      </x:c>
      <x:c r="F249" s="21" t="str">
        <x:v>SW480 2</x:v>
      </x:c>
      <x:c r="G249" s="21" t="str">
        <x:v>normalization_reference</x:v>
      </x:c>
      <x:c r="H249" s="21" t="n">
        <x:v>2</x:v>
      </x:c>
      <x:c r="I249" s="22" t="n">
        <x:v>1.1665</x:v>
      </x:c>
    </x:row>
    <x:row r="250">
      <x:c r="A250" s="20" t="str">
        <x:v>M4</x:v>
      </x:c>
      <x:c r="B250" s="21" t="str">
        <x:v>T6853</x:v>
      </x:c>
      <x:c r="C250" s="21" t="str">
        <x:v>GSK591</x:v>
      </x:c>
      <x:c r="D250" s="21" t="str">
        <x:v>SW480</x:v>
      </x:c>
      <x:c r="E250" s="21" t="n">
        <x:v>2</x:v>
      </x:c>
      <x:c r="F250" s="21" t="str">
        <x:v>SW480 2</x:v>
      </x:c>
      <x:c r="G250" s="21" t="str">
        <x:v>normalization_reference</x:v>
      </x:c>
      <x:c r="H250" s="21" t="n">
        <x:v>3</x:v>
      </x:c>
      <x:c r="I250" s="22" t="n">
        <x:v>1.1679</x:v>
      </x:c>
    </x:row>
    <x:row r="251">
      <x:c r="A251" s="20" t="str">
        <x:v>M4</x:v>
      </x:c>
      <x:c r="B251" s="21" t="str">
        <x:v>T6853</x:v>
      </x:c>
      <x:c r="C251" s="21" t="str">
        <x:v>GSK591</x:v>
      </x:c>
      <x:c r="D251" s="21" t="str">
        <x:v>SW480</x:v>
      </x:c>
      <x:c r="E251" s="21" t="n">
        <x:v>2</x:v>
      </x:c>
      <x:c r="F251" s="21" t="str">
        <x:v>SW480 2</x:v>
      </x:c>
      <x:c r="G251" s="21" t="str">
        <x:v>blank</x:v>
      </x:c>
      <x:c r="H251" s="21" t="n">
        <x:v>1</x:v>
      </x:c>
      <x:c r="I251" s="22" t="n">
        <x:v>0.3461</x:v>
      </x:c>
    </x:row>
    <x:row r="252">
      <x:c r="A252" s="20" t="str">
        <x:v>M4</x:v>
      </x:c>
      <x:c r="B252" s="21" t="str">
        <x:v>T6853</x:v>
      </x:c>
      <x:c r="C252" s="21" t="str">
        <x:v>GSK591</x:v>
      </x:c>
      <x:c r="D252" s="21" t="str">
        <x:v>SW480</x:v>
      </x:c>
      <x:c r="E252" s="21" t="n">
        <x:v>2</x:v>
      </x:c>
      <x:c r="F252" s="21" t="str">
        <x:v>SW480 2</x:v>
      </x:c>
      <x:c r="G252" s="21" t="str">
        <x:v>blank</x:v>
      </x:c>
      <x:c r="H252" s="21" t="n">
        <x:v>2</x:v>
      </x:c>
      <x:c r="I252" s="22" t="n">
        <x:v>0.316</x:v>
      </x:c>
    </x:row>
    <x:row r="253">
      <x:c r="A253" s="20" t="str">
        <x:v>M4</x:v>
      </x:c>
      <x:c r="B253" s="21" t="str">
        <x:v>T6853</x:v>
      </x:c>
      <x:c r="C253" s="21" t="str">
        <x:v>GSK591</x:v>
      </x:c>
      <x:c r="D253" s="21" t="str">
        <x:v>SW480</x:v>
      </x:c>
      <x:c r="E253" s="21" t="n">
        <x:v>2</x:v>
      </x:c>
      <x:c r="F253" s="21" t="str">
        <x:v>SW480 2</x:v>
      </x:c>
      <x:c r="G253" s="21" t="str">
        <x:v>blank</x:v>
      </x:c>
      <x:c r="H253" s="21" t="n">
        <x:v>3</x:v>
      </x:c>
      <x:c r="I253" s="22" t="n">
        <x:v>0.3284</x:v>
      </x:c>
    </x:row>
    <x:row r="254">
      <x:c r="A254" s="20" t="str">
        <x:v>M5</x:v>
      </x:c>
      <x:c r="B254" s="21" t="str">
        <x:v>T6980</x:v>
      </x:c>
      <x:c r="C254" s="21" t="str">
        <x:v>Scriptaid</x:v>
      </x:c>
      <x:c r="D254" s="21" t="str">
        <x:v>SW480</x:v>
      </x:c>
      <x:c r="E254" s="21" t="n">
        <x:v>2</x:v>
      </x:c>
      <x:c r="F254" s="21" t="str">
        <x:v>SW480 2</x:v>
      </x:c>
      <x:c r="G254" s="21" t="str">
        <x:v>treatment</x:v>
      </x:c>
      <x:c r="H254" s="21" t="n">
        <x:v>1</x:v>
      </x:c>
      <x:c r="I254" s="22" t="n">
        <x:v>0.5196</x:v>
      </x:c>
    </x:row>
    <x:row r="255">
      <x:c r="A255" s="20" t="str">
        <x:v>M5</x:v>
      </x:c>
      <x:c r="B255" s="21" t="str">
        <x:v>T6980</x:v>
      </x:c>
      <x:c r="C255" s="21" t="str">
        <x:v>Scriptaid</x:v>
      </x:c>
      <x:c r="D255" s="21" t="str">
        <x:v>SW480</x:v>
      </x:c>
      <x:c r="E255" s="21" t="n">
        <x:v>2</x:v>
      </x:c>
      <x:c r="F255" s="21" t="str">
        <x:v>SW480 2</x:v>
      </x:c>
      <x:c r="G255" s="21" t="str">
        <x:v>treatment</x:v>
      </x:c>
      <x:c r="H255" s="21" t="n">
        <x:v>2</x:v>
      </x:c>
      <x:c r="I255" s="22" t="n">
        <x:v>0.5098</x:v>
      </x:c>
    </x:row>
    <x:row r="256">
      <x:c r="A256" s="20" t="str">
        <x:v>M5</x:v>
      </x:c>
      <x:c r="B256" s="21" t="str">
        <x:v>T6980</x:v>
      </x:c>
      <x:c r="C256" s="21" t="str">
        <x:v>Scriptaid</x:v>
      </x:c>
      <x:c r="D256" s="21" t="str">
        <x:v>SW480</x:v>
      </x:c>
      <x:c r="E256" s="21" t="n">
        <x:v>2</x:v>
      </x:c>
      <x:c r="F256" s="21" t="str">
        <x:v>SW480 2</x:v>
      </x:c>
      <x:c r="G256" s="21" t="str">
        <x:v>treatment</x:v>
      </x:c>
      <x:c r="H256" s="21" t="n">
        <x:v>3</x:v>
      </x:c>
      <x:c r="I256" s="22" t="n">
        <x:v>0.5093</x:v>
      </x:c>
    </x:row>
    <x:row r="257">
      <x:c r="A257" s="20" t="str">
        <x:v>M5</x:v>
      </x:c>
      <x:c r="B257" s="21" t="str">
        <x:v>T6980</x:v>
      </x:c>
      <x:c r="C257" s="21" t="str">
        <x:v>Scriptaid</x:v>
      </x:c>
      <x:c r="D257" s="21" t="str">
        <x:v>SW480</x:v>
      </x:c>
      <x:c r="E257" s="21" t="n">
        <x:v>2</x:v>
      </x:c>
      <x:c r="F257" s="21" t="str">
        <x:v>SW480 2</x:v>
      </x:c>
      <x:c r="G257" s="21" t="str">
        <x:v>normalization_reference</x:v>
      </x:c>
      <x:c r="H257" s="21" t="n">
        <x:v>1</x:v>
      </x:c>
      <x:c r="I257" s="22" t="n">
        <x:v>1.1675</x:v>
      </x:c>
    </x:row>
    <x:row r="258">
      <x:c r="A258" s="20" t="str">
        <x:v>M5</x:v>
      </x:c>
      <x:c r="B258" s="21" t="str">
        <x:v>T6980</x:v>
      </x:c>
      <x:c r="C258" s="21" t="str">
        <x:v>Scriptaid</x:v>
      </x:c>
      <x:c r="D258" s="21" t="str">
        <x:v>SW480</x:v>
      </x:c>
      <x:c r="E258" s="21" t="n">
        <x:v>2</x:v>
      </x:c>
      <x:c r="F258" s="21" t="str">
        <x:v>SW480 2</x:v>
      </x:c>
      <x:c r="G258" s="21" t="str">
        <x:v>normalization_reference</x:v>
      </x:c>
      <x:c r="H258" s="21" t="n">
        <x:v>2</x:v>
      </x:c>
      <x:c r="I258" s="22" t="n">
        <x:v>1.1665</x:v>
      </x:c>
    </x:row>
    <x:row r="259">
      <x:c r="A259" s="20" t="str">
        <x:v>M5</x:v>
      </x:c>
      <x:c r="B259" s="21" t="str">
        <x:v>T6980</x:v>
      </x:c>
      <x:c r="C259" s="21" t="str">
        <x:v>Scriptaid</x:v>
      </x:c>
      <x:c r="D259" s="21" t="str">
        <x:v>SW480</x:v>
      </x:c>
      <x:c r="E259" s="21" t="n">
        <x:v>2</x:v>
      </x:c>
      <x:c r="F259" s="21" t="str">
        <x:v>SW480 2</x:v>
      </x:c>
      <x:c r="G259" s="21" t="str">
        <x:v>normalization_reference</x:v>
      </x:c>
      <x:c r="H259" s="21" t="n">
        <x:v>3</x:v>
      </x:c>
      <x:c r="I259" s="22" t="n">
        <x:v>1.1679</x:v>
      </x:c>
    </x:row>
    <x:row r="260">
      <x:c r="A260" s="20" t="str">
        <x:v>M5</x:v>
      </x:c>
      <x:c r="B260" s="21" t="str">
        <x:v>T6980</x:v>
      </x:c>
      <x:c r="C260" s="21" t="str">
        <x:v>Scriptaid</x:v>
      </x:c>
      <x:c r="D260" s="21" t="str">
        <x:v>SW480</x:v>
      </x:c>
      <x:c r="E260" s="21" t="n">
        <x:v>2</x:v>
      </x:c>
      <x:c r="F260" s="21" t="str">
        <x:v>SW480 2</x:v>
      </x:c>
      <x:c r="G260" s="21" t="str">
        <x:v>blank</x:v>
      </x:c>
      <x:c r="H260" s="21" t="n">
        <x:v>1</x:v>
      </x:c>
      <x:c r="I260" s="22" t="n">
        <x:v>0.3461</x:v>
      </x:c>
    </x:row>
    <x:row r="261">
      <x:c r="A261" s="20" t="str">
        <x:v>M5</x:v>
      </x:c>
      <x:c r="B261" s="21" t="str">
        <x:v>T6980</x:v>
      </x:c>
      <x:c r="C261" s="21" t="str">
        <x:v>Scriptaid</x:v>
      </x:c>
      <x:c r="D261" s="21" t="str">
        <x:v>SW480</x:v>
      </x:c>
      <x:c r="E261" s="21" t="n">
        <x:v>2</x:v>
      </x:c>
      <x:c r="F261" s="21" t="str">
        <x:v>SW480 2</x:v>
      </x:c>
      <x:c r="G261" s="21" t="str">
        <x:v>blank</x:v>
      </x:c>
      <x:c r="H261" s="21" t="n">
        <x:v>2</x:v>
      </x:c>
      <x:c r="I261" s="22" t="n">
        <x:v>0.316</x:v>
      </x:c>
    </x:row>
    <x:row r="262">
      <x:c r="A262" s="20" t="str">
        <x:v>M5</x:v>
      </x:c>
      <x:c r="B262" s="21" t="str">
        <x:v>T6980</x:v>
      </x:c>
      <x:c r="C262" s="21" t="str">
        <x:v>Scriptaid</x:v>
      </x:c>
      <x:c r="D262" s="21" t="str">
        <x:v>SW480</x:v>
      </x:c>
      <x:c r="E262" s="21" t="n">
        <x:v>2</x:v>
      </x:c>
      <x:c r="F262" s="21" t="str">
        <x:v>SW480 2</x:v>
      </x:c>
      <x:c r="G262" s="21" t="str">
        <x:v>blank</x:v>
      </x:c>
      <x:c r="H262" s="21" t="n">
        <x:v>3</x:v>
      </x:c>
      <x:c r="I262" s="22" t="n">
        <x:v>0.3284</x:v>
      </x:c>
    </x:row>
    <x:row r="263">
      <x:c r="A263" s="20" t="str">
        <x:v>M6</x:v>
      </x:c>
      <x:c r="B263" s="21" t="str">
        <x:v>T60904</x:v>
      </x:c>
      <x:c r="C263" s="21" t="str">
        <x:v>ERCC1-XPF-IN-2</x:v>
      </x:c>
      <x:c r="D263" s="21" t="str">
        <x:v>SW480</x:v>
      </x:c>
      <x:c r="E263" s="21" t="n">
        <x:v>2</x:v>
      </x:c>
      <x:c r="F263" s="21" t="str">
        <x:v>SW480 2</x:v>
      </x:c>
      <x:c r="G263" s="21" t="str">
        <x:v>treatment</x:v>
      </x:c>
      <x:c r="H263" s="21" t="n">
        <x:v>1</x:v>
      </x:c>
      <x:c r="I263" s="22" t="n">
        <x:v>0.9629</x:v>
      </x:c>
    </x:row>
    <x:row r="264">
      <x:c r="A264" s="20" t="str">
        <x:v>M6</x:v>
      </x:c>
      <x:c r="B264" s="21" t="str">
        <x:v>T60904</x:v>
      </x:c>
      <x:c r="C264" s="21" t="str">
        <x:v>ERCC1-XPF-IN-2</x:v>
      </x:c>
      <x:c r="D264" s="21" t="str">
        <x:v>SW480</x:v>
      </x:c>
      <x:c r="E264" s="21" t="n">
        <x:v>2</x:v>
      </x:c>
      <x:c r="F264" s="21" t="str">
        <x:v>SW480 2</x:v>
      </x:c>
      <x:c r="G264" s="21" t="str">
        <x:v>treatment</x:v>
      </x:c>
      <x:c r="H264" s="21" t="n">
        <x:v>2</x:v>
      </x:c>
      <x:c r="I264" s="22" t="n">
        <x:v>0.9579</x:v>
      </x:c>
    </x:row>
    <x:row r="265">
      <x:c r="A265" s="20" t="str">
        <x:v>M6</x:v>
      </x:c>
      <x:c r="B265" s="21" t="str">
        <x:v>T60904</x:v>
      </x:c>
      <x:c r="C265" s="21" t="str">
        <x:v>ERCC1-XPF-IN-2</x:v>
      </x:c>
      <x:c r="D265" s="21" t="str">
        <x:v>SW480</x:v>
      </x:c>
      <x:c r="E265" s="21" t="n">
        <x:v>2</x:v>
      </x:c>
      <x:c r="F265" s="21" t="str">
        <x:v>SW480 2</x:v>
      </x:c>
      <x:c r="G265" s="21" t="str">
        <x:v>treatment</x:v>
      </x:c>
      <x:c r="H265" s="21" t="n">
        <x:v>3</x:v>
      </x:c>
      <x:c r="I265" s="22" t="n">
        <x:v>0.9694</x:v>
      </x:c>
    </x:row>
    <x:row r="266">
      <x:c r="A266" s="20" t="str">
        <x:v>M6</x:v>
      </x:c>
      <x:c r="B266" s="21" t="str">
        <x:v>T60904</x:v>
      </x:c>
      <x:c r="C266" s="21" t="str">
        <x:v>ERCC1-XPF-IN-2</x:v>
      </x:c>
      <x:c r="D266" s="21" t="str">
        <x:v>SW480</x:v>
      </x:c>
      <x:c r="E266" s="21" t="n">
        <x:v>2</x:v>
      </x:c>
      <x:c r="F266" s="21" t="str">
        <x:v>SW480 2</x:v>
      </x:c>
      <x:c r="G266" s="21" t="str">
        <x:v>normalization_reference</x:v>
      </x:c>
      <x:c r="H266" s="21" t="n">
        <x:v>1</x:v>
      </x:c>
      <x:c r="I266" s="22" t="n">
        <x:v>1.1675</x:v>
      </x:c>
    </x:row>
    <x:row r="267">
      <x:c r="A267" s="20" t="str">
        <x:v>M6</x:v>
      </x:c>
      <x:c r="B267" s="21" t="str">
        <x:v>T60904</x:v>
      </x:c>
      <x:c r="C267" s="21" t="str">
        <x:v>ERCC1-XPF-IN-2</x:v>
      </x:c>
      <x:c r="D267" s="21" t="str">
        <x:v>SW480</x:v>
      </x:c>
      <x:c r="E267" s="21" t="n">
        <x:v>2</x:v>
      </x:c>
      <x:c r="F267" s="21" t="str">
        <x:v>SW480 2</x:v>
      </x:c>
      <x:c r="G267" s="21" t="str">
        <x:v>normalization_reference</x:v>
      </x:c>
      <x:c r="H267" s="21" t="n">
        <x:v>2</x:v>
      </x:c>
      <x:c r="I267" s="22" t="n">
        <x:v>1.1665</x:v>
      </x:c>
    </x:row>
    <x:row r="268">
      <x:c r="A268" s="20" t="str">
        <x:v>M6</x:v>
      </x:c>
      <x:c r="B268" s="21" t="str">
        <x:v>T60904</x:v>
      </x:c>
      <x:c r="C268" s="21" t="str">
        <x:v>ERCC1-XPF-IN-2</x:v>
      </x:c>
      <x:c r="D268" s="21" t="str">
        <x:v>SW480</x:v>
      </x:c>
      <x:c r="E268" s="21" t="n">
        <x:v>2</x:v>
      </x:c>
      <x:c r="F268" s="21" t="str">
        <x:v>SW480 2</x:v>
      </x:c>
      <x:c r="G268" s="21" t="str">
        <x:v>normalization_reference</x:v>
      </x:c>
      <x:c r="H268" s="21" t="n">
        <x:v>3</x:v>
      </x:c>
      <x:c r="I268" s="22" t="n">
        <x:v>1.1679</x:v>
      </x:c>
    </x:row>
    <x:row r="269">
      <x:c r="A269" s="20" t="str">
        <x:v>M6</x:v>
      </x:c>
      <x:c r="B269" s="21" t="str">
        <x:v>T60904</x:v>
      </x:c>
      <x:c r="C269" s="21" t="str">
        <x:v>ERCC1-XPF-IN-2</x:v>
      </x:c>
      <x:c r="D269" s="21" t="str">
        <x:v>SW480</x:v>
      </x:c>
      <x:c r="E269" s="21" t="n">
        <x:v>2</x:v>
      </x:c>
      <x:c r="F269" s="21" t="str">
        <x:v>SW480 2</x:v>
      </x:c>
      <x:c r="G269" s="21" t="str">
        <x:v>blank</x:v>
      </x:c>
      <x:c r="H269" s="21" t="n">
        <x:v>1</x:v>
      </x:c>
      <x:c r="I269" s="22" t="n">
        <x:v>0.3461</x:v>
      </x:c>
    </x:row>
    <x:row r="270">
      <x:c r="A270" s="20" t="str">
        <x:v>M6</x:v>
      </x:c>
      <x:c r="B270" s="21" t="str">
        <x:v>T60904</x:v>
      </x:c>
      <x:c r="C270" s="21" t="str">
        <x:v>ERCC1-XPF-IN-2</x:v>
      </x:c>
      <x:c r="D270" s="21" t="str">
        <x:v>SW480</x:v>
      </x:c>
      <x:c r="E270" s="21" t="n">
        <x:v>2</x:v>
      </x:c>
      <x:c r="F270" s="21" t="str">
        <x:v>SW480 2</x:v>
      </x:c>
      <x:c r="G270" s="21" t="str">
        <x:v>blank</x:v>
      </x:c>
      <x:c r="H270" s="21" t="n">
        <x:v>2</x:v>
      </x:c>
      <x:c r="I270" s="22" t="n">
        <x:v>0.316</x:v>
      </x:c>
    </x:row>
    <x:row r="271">
      <x:c r="A271" s="20" t="str">
        <x:v>M6</x:v>
      </x:c>
      <x:c r="B271" s="21" t="str">
        <x:v>T60904</x:v>
      </x:c>
      <x:c r="C271" s="21" t="str">
        <x:v>ERCC1-XPF-IN-2</x:v>
      </x:c>
      <x:c r="D271" s="21" t="str">
        <x:v>SW480</x:v>
      </x:c>
      <x:c r="E271" s="21" t="n">
        <x:v>2</x:v>
      </x:c>
      <x:c r="F271" s="21" t="str">
        <x:v>SW480 2</x:v>
      </x:c>
      <x:c r="G271" s="21" t="str">
        <x:v>blank</x:v>
      </x:c>
      <x:c r="H271" s="21" t="n">
        <x:v>3</x:v>
      </x:c>
      <x:c r="I271" s="22" t="n">
        <x:v>0.3284</x:v>
      </x:c>
    </x:row>
    <x:row r="272">
      <x:c r="A272" s="20" t="str">
        <x:v>M1</x:v>
      </x:c>
      <x:c r="B272" s="21" t="str">
        <x:v>T9335</x:v>
      </x:c>
      <x:c r="C272" s="21" t="str">
        <x:v>1,1'-Methylenedi-2-naphthol</x:v>
      </x:c>
      <x:c r="D272" s="21" t="str">
        <x:v>LoVo</x:v>
      </x:c>
      <x:c r="E272" s="21" t="n">
        <x:v>1</x:v>
      </x:c>
      <x:c r="F272" s="21" t="str">
        <x:v>LOVO 1</x:v>
      </x:c>
      <x:c r="G272" s="21" t="str">
        <x:v>treatment</x:v>
      </x:c>
      <x:c r="H272" s="21" t="n">
        <x:v>1</x:v>
      </x:c>
      <x:c r="I272" s="22" t="n">
        <x:v>1.336</x:v>
      </x:c>
    </x:row>
    <x:row r="273">
      <x:c r="A273" s="20" t="str">
        <x:v>M1</x:v>
      </x:c>
      <x:c r="B273" s="21" t="str">
        <x:v>T9335</x:v>
      </x:c>
      <x:c r="C273" s="21" t="str">
        <x:v>1,1'-Methylenedi-2-naphthol</x:v>
      </x:c>
      <x:c r="D273" s="21" t="str">
        <x:v>LoVo</x:v>
      </x:c>
      <x:c r="E273" s="21" t="n">
        <x:v>1</x:v>
      </x:c>
      <x:c r="F273" s="21" t="str">
        <x:v>LOVO 1</x:v>
      </x:c>
      <x:c r="G273" s="21" t="str">
        <x:v>treatment</x:v>
      </x:c>
      <x:c r="H273" s="21" t="n">
        <x:v>2</x:v>
      </x:c>
      <x:c r="I273" s="22" t="n">
        <x:v>1.2923</x:v>
      </x:c>
    </x:row>
    <x:row r="274">
      <x:c r="A274" s="20" t="str">
        <x:v>M1</x:v>
      </x:c>
      <x:c r="B274" s="21" t="str">
        <x:v>T9335</x:v>
      </x:c>
      <x:c r="C274" s="21" t="str">
        <x:v>1,1'-Methylenedi-2-naphthol</x:v>
      </x:c>
      <x:c r="D274" s="21" t="str">
        <x:v>LoVo</x:v>
      </x:c>
      <x:c r="E274" s="21" t="n">
        <x:v>1</x:v>
      </x:c>
      <x:c r="F274" s="21" t="str">
        <x:v>LOVO 1</x:v>
      </x:c>
      <x:c r="G274" s="21" t="str">
        <x:v>treatment</x:v>
      </x:c>
      <x:c r="H274" s="21" t="n">
        <x:v>3</x:v>
      </x:c>
      <x:c r="I274" s="22" t="n">
        <x:v>1.363</x:v>
      </x:c>
    </x:row>
    <x:row r="275">
      <x:c r="A275" s="20" t="str">
        <x:v>M1</x:v>
      </x:c>
      <x:c r="B275" s="21" t="str">
        <x:v>T9335</x:v>
      </x:c>
      <x:c r="C275" s="21" t="str">
        <x:v>1,1'-Methylenedi-2-naphthol</x:v>
      </x:c>
      <x:c r="D275" s="21" t="str">
        <x:v>LoVo</x:v>
      </x:c>
      <x:c r="E275" s="21" t="n">
        <x:v>1</x:v>
      </x:c>
      <x:c r="F275" s="21" t="str">
        <x:v>LOVO 1</x:v>
      </x:c>
      <x:c r="G275" s="21" t="str">
        <x:v>normalization_reference</x:v>
      </x:c>
      <x:c r="H275" s="21" t="n">
        <x:v>1</x:v>
      </x:c>
      <x:c r="I275" s="22" t="n">
        <x:v>1.5127</x:v>
      </x:c>
    </x:row>
    <x:row r="276">
      <x:c r="A276" s="20" t="str">
        <x:v>M1</x:v>
      </x:c>
      <x:c r="B276" s="21" t="str">
        <x:v>T9335</x:v>
      </x:c>
      <x:c r="C276" s="21" t="str">
        <x:v>1,1'-Methylenedi-2-naphthol</x:v>
      </x:c>
      <x:c r="D276" s="21" t="str">
        <x:v>LoVo</x:v>
      </x:c>
      <x:c r="E276" s="21" t="n">
        <x:v>1</x:v>
      </x:c>
      <x:c r="F276" s="21" t="str">
        <x:v>LOVO 1</x:v>
      </x:c>
      <x:c r="G276" s="21" t="str">
        <x:v>normalization_reference</x:v>
      </x:c>
      <x:c r="H276" s="21" t="n">
        <x:v>2</x:v>
      </x:c>
      <x:c r="I276" s="22" t="n">
        <x:v>1.511</x:v>
      </x:c>
    </x:row>
    <x:row r="277">
      <x:c r="A277" s="20" t="str">
        <x:v>M1</x:v>
      </x:c>
      <x:c r="B277" s="21" t="str">
        <x:v>T9335</x:v>
      </x:c>
      <x:c r="C277" s="21" t="str">
        <x:v>1,1'-Methylenedi-2-naphthol</x:v>
      </x:c>
      <x:c r="D277" s="21" t="str">
        <x:v>LoVo</x:v>
      </x:c>
      <x:c r="E277" s="21" t="n">
        <x:v>1</x:v>
      </x:c>
      <x:c r="F277" s="21" t="str">
        <x:v>LOVO 1</x:v>
      </x:c>
      <x:c r="G277" s="21" t="str">
        <x:v>normalization_reference</x:v>
      </x:c>
      <x:c r="H277" s="21" t="n">
        <x:v>3</x:v>
      </x:c>
      <x:c r="I277" s="22" t="n">
        <x:v>1.5146</x:v>
      </x:c>
    </x:row>
    <x:row r="278">
      <x:c r="A278" s="20" t="str">
        <x:v>M1</x:v>
      </x:c>
      <x:c r="B278" s="21" t="str">
        <x:v>T9335</x:v>
      </x:c>
      <x:c r="C278" s="21" t="str">
        <x:v>1,1'-Methylenedi-2-naphthol</x:v>
      </x:c>
      <x:c r="D278" s="21" t="str">
        <x:v>LoVo</x:v>
      </x:c>
      <x:c r="E278" s="21" t="n">
        <x:v>1</x:v>
      </x:c>
      <x:c r="F278" s="21" t="str">
        <x:v>LOVO 1</x:v>
      </x:c>
      <x:c r="G278" s="21" t="str">
        <x:v>blank</x:v>
      </x:c>
      <x:c r="H278" s="21" t="n">
        <x:v>1</x:v>
      </x:c>
      <x:c r="I278" s="22" t="n">
        <x:v>0.2342</x:v>
      </x:c>
    </x:row>
    <x:row r="279">
      <x:c r="A279" s="20" t="str">
        <x:v>M1</x:v>
      </x:c>
      <x:c r="B279" s="21" t="str">
        <x:v>T9335</x:v>
      </x:c>
      <x:c r="C279" s="21" t="str">
        <x:v>1,1'-Methylenedi-2-naphthol</x:v>
      </x:c>
      <x:c r="D279" s="21" t="str">
        <x:v>LoVo</x:v>
      </x:c>
      <x:c r="E279" s="21" t="n">
        <x:v>1</x:v>
      </x:c>
      <x:c r="F279" s="21" t="str">
        <x:v>LOVO 1</x:v>
      </x:c>
      <x:c r="G279" s="21" t="str">
        <x:v>blank</x:v>
      </x:c>
      <x:c r="H279" s="21" t="n">
        <x:v>2</x:v>
      </x:c>
      <x:c r="I279" s="22" t="n">
        <x:v>0.2221</x:v>
      </x:c>
    </x:row>
    <x:row r="280">
      <x:c r="A280" s="20" t="str">
        <x:v>M1</x:v>
      </x:c>
      <x:c r="B280" s="21" t="str">
        <x:v>T9335</x:v>
      </x:c>
      <x:c r="C280" s="21" t="str">
        <x:v>1,1'-Methylenedi-2-naphthol</x:v>
      </x:c>
      <x:c r="D280" s="21" t="str">
        <x:v>LoVo</x:v>
      </x:c>
      <x:c r="E280" s="21" t="n">
        <x:v>1</x:v>
      </x:c>
      <x:c r="F280" s="21" t="str">
        <x:v>LOVO 1</x:v>
      </x:c>
      <x:c r="G280" s="21" t="str">
        <x:v>blank</x:v>
      </x:c>
      <x:c r="H280" s="21" t="n">
        <x:v>3</x:v>
      </x:c>
      <x:c r="I280" s="22" t="n">
        <x:v>0.2346</x:v>
      </x:c>
    </x:row>
    <x:row r="281">
      <x:c r="A281" s="20" t="str">
        <x:v>M2</x:v>
      </x:c>
      <x:c r="B281" s="21" t="str">
        <x:v>T61189</x:v>
      </x:c>
      <x:c r="C281" s="21" t="str">
        <x:v>E7016</x:v>
      </x:c>
      <x:c r="D281" s="21" t="str">
        <x:v>LoVo</x:v>
      </x:c>
      <x:c r="E281" s="21" t="n">
        <x:v>1</x:v>
      </x:c>
      <x:c r="F281" s="21" t="str">
        <x:v>LOVO 1</x:v>
      </x:c>
      <x:c r="G281" s="21" t="str">
        <x:v>treatment</x:v>
      </x:c>
      <x:c r="H281" s="21" t="n">
        <x:v>1</x:v>
      </x:c>
      <x:c r="I281" s="22" t="n">
        <x:v>0.3414</x:v>
      </x:c>
    </x:row>
    <x:row r="282">
      <x:c r="A282" s="20" t="str">
        <x:v>M2</x:v>
      </x:c>
      <x:c r="B282" s="21" t="str">
        <x:v>T61189</x:v>
      </x:c>
      <x:c r="C282" s="21" t="str">
        <x:v>E7016</x:v>
      </x:c>
      <x:c r="D282" s="21" t="str">
        <x:v>LoVo</x:v>
      </x:c>
      <x:c r="E282" s="21" t="n">
        <x:v>1</x:v>
      </x:c>
      <x:c r="F282" s="21" t="str">
        <x:v>LOVO 1</x:v>
      </x:c>
      <x:c r="G282" s="21" t="str">
        <x:v>treatment</x:v>
      </x:c>
      <x:c r="H282" s="21" t="n">
        <x:v>2</x:v>
      </x:c>
      <x:c r="I282" s="22" t="n">
        <x:v>0.3501</x:v>
      </x:c>
    </x:row>
    <x:row r="283">
      <x:c r="A283" s="20" t="str">
        <x:v>M2</x:v>
      </x:c>
      <x:c r="B283" s="21" t="str">
        <x:v>T61189</x:v>
      </x:c>
      <x:c r="C283" s="21" t="str">
        <x:v>E7016</x:v>
      </x:c>
      <x:c r="D283" s="21" t="str">
        <x:v>LoVo</x:v>
      </x:c>
      <x:c r="E283" s="21" t="n">
        <x:v>1</x:v>
      </x:c>
      <x:c r="F283" s="21" t="str">
        <x:v>LOVO 1</x:v>
      </x:c>
      <x:c r="G283" s="21" t="str">
        <x:v>treatment</x:v>
      </x:c>
      <x:c r="H283" s="21" t="n">
        <x:v>3</x:v>
      </x:c>
      <x:c r="I283" s="22" t="n">
        <x:v>0.355</x:v>
      </x:c>
    </x:row>
    <x:row r="284">
      <x:c r="A284" s="20" t="str">
        <x:v>M2</x:v>
      </x:c>
      <x:c r="B284" s="21" t="str">
        <x:v>T61189</x:v>
      </x:c>
      <x:c r="C284" s="21" t="str">
        <x:v>E7016</x:v>
      </x:c>
      <x:c r="D284" s="21" t="str">
        <x:v>LoVo</x:v>
      </x:c>
      <x:c r="E284" s="21" t="n">
        <x:v>1</x:v>
      </x:c>
      <x:c r="F284" s="21" t="str">
        <x:v>LOVO 1</x:v>
      </x:c>
      <x:c r="G284" s="21" t="str">
        <x:v>normalization_reference</x:v>
      </x:c>
      <x:c r="H284" s="21" t="n">
        <x:v>1</x:v>
      </x:c>
      <x:c r="I284" s="22" t="n">
        <x:v>1.5127</x:v>
      </x:c>
    </x:row>
    <x:row r="285">
      <x:c r="A285" s="20" t="str">
        <x:v>M2</x:v>
      </x:c>
      <x:c r="B285" s="21" t="str">
        <x:v>T61189</x:v>
      </x:c>
      <x:c r="C285" s="21" t="str">
        <x:v>E7016</x:v>
      </x:c>
      <x:c r="D285" s="21" t="str">
        <x:v>LoVo</x:v>
      </x:c>
      <x:c r="E285" s="21" t="n">
        <x:v>1</x:v>
      </x:c>
      <x:c r="F285" s="21" t="str">
        <x:v>LOVO 1</x:v>
      </x:c>
      <x:c r="G285" s="21" t="str">
        <x:v>normalization_reference</x:v>
      </x:c>
      <x:c r="H285" s="21" t="n">
        <x:v>2</x:v>
      </x:c>
      <x:c r="I285" s="22" t="n">
        <x:v>1.511</x:v>
      </x:c>
    </x:row>
    <x:row r="286">
      <x:c r="A286" s="20" t="str">
        <x:v>M2</x:v>
      </x:c>
      <x:c r="B286" s="21" t="str">
        <x:v>T61189</x:v>
      </x:c>
      <x:c r="C286" s="21" t="str">
        <x:v>E7016</x:v>
      </x:c>
      <x:c r="D286" s="21" t="str">
        <x:v>LoVo</x:v>
      </x:c>
      <x:c r="E286" s="21" t="n">
        <x:v>1</x:v>
      </x:c>
      <x:c r="F286" s="21" t="str">
        <x:v>LOVO 1</x:v>
      </x:c>
      <x:c r="G286" s="21" t="str">
        <x:v>normalization_reference</x:v>
      </x:c>
      <x:c r="H286" s="21" t="n">
        <x:v>3</x:v>
      </x:c>
      <x:c r="I286" s="22" t="n">
        <x:v>1.5146</x:v>
      </x:c>
    </x:row>
    <x:row r="287">
      <x:c r="A287" s="20" t="str">
        <x:v>M2</x:v>
      </x:c>
      <x:c r="B287" s="21" t="str">
        <x:v>T61189</x:v>
      </x:c>
      <x:c r="C287" s="21" t="str">
        <x:v>E7016</x:v>
      </x:c>
      <x:c r="D287" s="21" t="str">
        <x:v>LoVo</x:v>
      </x:c>
      <x:c r="E287" s="21" t="n">
        <x:v>1</x:v>
      </x:c>
      <x:c r="F287" s="21" t="str">
        <x:v>LOVO 1</x:v>
      </x:c>
      <x:c r="G287" s="21" t="str">
        <x:v>blank</x:v>
      </x:c>
      <x:c r="H287" s="21" t="n">
        <x:v>1</x:v>
      </x:c>
      <x:c r="I287" s="22" t="n">
        <x:v>0.2342</x:v>
      </x:c>
    </x:row>
    <x:row r="288">
      <x:c r="A288" s="20" t="str">
        <x:v>M2</x:v>
      </x:c>
      <x:c r="B288" s="21" t="str">
        <x:v>T61189</x:v>
      </x:c>
      <x:c r="C288" s="21" t="str">
        <x:v>E7016</x:v>
      </x:c>
      <x:c r="D288" s="21" t="str">
        <x:v>LoVo</x:v>
      </x:c>
      <x:c r="E288" s="21" t="n">
        <x:v>1</x:v>
      </x:c>
      <x:c r="F288" s="21" t="str">
        <x:v>LOVO 1</x:v>
      </x:c>
      <x:c r="G288" s="21" t="str">
        <x:v>blank</x:v>
      </x:c>
      <x:c r="H288" s="21" t="n">
        <x:v>2</x:v>
      </x:c>
      <x:c r="I288" s="22" t="n">
        <x:v>0.2221</x:v>
      </x:c>
    </x:row>
    <x:row r="289">
      <x:c r="A289" s="20" t="str">
        <x:v>M2</x:v>
      </x:c>
      <x:c r="B289" s="21" t="str">
        <x:v>T61189</x:v>
      </x:c>
      <x:c r="C289" s="21" t="str">
        <x:v>E7016</x:v>
      </x:c>
      <x:c r="D289" s="21" t="str">
        <x:v>LoVo</x:v>
      </x:c>
      <x:c r="E289" s="21" t="n">
        <x:v>1</x:v>
      </x:c>
      <x:c r="F289" s="21" t="str">
        <x:v>LOVO 1</x:v>
      </x:c>
      <x:c r="G289" s="21" t="str">
        <x:v>blank</x:v>
      </x:c>
      <x:c r="H289" s="21" t="n">
        <x:v>3</x:v>
      </x:c>
      <x:c r="I289" s="22" t="n">
        <x:v>0.2346</x:v>
      </x:c>
    </x:row>
    <x:row r="290">
      <x:c r="A290" s="20" t="str">
        <x:v>M3</x:v>
      </x:c>
      <x:c r="B290" s="21" t="str">
        <x:v>T12502</x:v>
      </x:c>
      <x:c r="C290" s="21" t="str">
        <x:v>PLpro inhibitor</x:v>
      </x:c>
      <x:c r="D290" s="21" t="str">
        <x:v>LoVo</x:v>
      </x:c>
      <x:c r="E290" s="21" t="n">
        <x:v>2</x:v>
      </x:c>
      <x:c r="F290" s="21" t="str">
        <x:v>LOVO 2</x:v>
      </x:c>
      <x:c r="G290" s="21" t="str">
        <x:v>treatment</x:v>
      </x:c>
      <x:c r="H290" s="21" t="n">
        <x:v>1</x:v>
      </x:c>
      <x:c r="I290" s="22" t="n">
        <x:v>1.4035</x:v>
      </x:c>
    </x:row>
    <x:row r="291">
      <x:c r="A291" s="20" t="str">
        <x:v>M3</x:v>
      </x:c>
      <x:c r="B291" s="21" t="str">
        <x:v>T12502</x:v>
      </x:c>
      <x:c r="C291" s="21" t="str">
        <x:v>PLpro inhibitor</x:v>
      </x:c>
      <x:c r="D291" s="21" t="str">
        <x:v>LoVo</x:v>
      </x:c>
      <x:c r="E291" s="21" t="n">
        <x:v>2</x:v>
      </x:c>
      <x:c r="F291" s="21" t="str">
        <x:v>LOVO 2</x:v>
      </x:c>
      <x:c r="G291" s="21" t="str">
        <x:v>treatment</x:v>
      </x:c>
      <x:c r="H291" s="21" t="n">
        <x:v>2</x:v>
      </x:c>
      <x:c r="I291" s="22" t="n">
        <x:v>1.3341</x:v>
      </x:c>
    </x:row>
    <x:row r="292">
      <x:c r="A292" s="20" t="str">
        <x:v>M3</x:v>
      </x:c>
      <x:c r="B292" s="21" t="str">
        <x:v>T12502</x:v>
      </x:c>
      <x:c r="C292" s="21" t="str">
        <x:v>PLpro inhibitor</x:v>
      </x:c>
      <x:c r="D292" s="21" t="str">
        <x:v>LoVo</x:v>
      </x:c>
      <x:c r="E292" s="21" t="n">
        <x:v>2</x:v>
      </x:c>
      <x:c r="F292" s="21" t="str">
        <x:v>LOVO 2</x:v>
      </x:c>
      <x:c r="G292" s="21" t="str">
        <x:v>treatment</x:v>
      </x:c>
      <x:c r="H292" s="21" t="n">
        <x:v>3</x:v>
      </x:c>
      <x:c r="I292" s="22" t="n">
        <x:v>1.3208</x:v>
      </x:c>
    </x:row>
    <x:row r="293">
      <x:c r="A293" s="20" t="str">
        <x:v>M3</x:v>
      </x:c>
      <x:c r="B293" s="21" t="str">
        <x:v>T12502</x:v>
      </x:c>
      <x:c r="C293" s="21" t="str">
        <x:v>PLpro inhibitor</x:v>
      </x:c>
      <x:c r="D293" s="21" t="str">
        <x:v>LoVo</x:v>
      </x:c>
      <x:c r="E293" s="21" t="n">
        <x:v>2</x:v>
      </x:c>
      <x:c r="F293" s="21" t="str">
        <x:v>LOVO 2</x:v>
      </x:c>
      <x:c r="G293" s="21" t="str">
        <x:v>normalization_reference</x:v>
      </x:c>
      <x:c r="H293" s="21" t="n">
        <x:v>1</x:v>
      </x:c>
      <x:c r="I293" s="22" t="n">
        <x:v>1.4387</x:v>
      </x:c>
    </x:row>
    <x:row r="294">
      <x:c r="A294" s="20" t="str">
        <x:v>M3</x:v>
      </x:c>
      <x:c r="B294" s="21" t="str">
        <x:v>T12502</x:v>
      </x:c>
      <x:c r="C294" s="21" t="str">
        <x:v>PLpro inhibitor</x:v>
      </x:c>
      <x:c r="D294" s="21" t="str">
        <x:v>LoVo</x:v>
      </x:c>
      <x:c r="E294" s="21" t="n">
        <x:v>2</x:v>
      </x:c>
      <x:c r="F294" s="21" t="str">
        <x:v>LOVO 2</x:v>
      </x:c>
      <x:c r="G294" s="21" t="str">
        <x:v>normalization_reference</x:v>
      </x:c>
      <x:c r="H294" s="21" t="n">
        <x:v>2</x:v>
      </x:c>
      <x:c r="I294" s="22" t="n">
        <x:v>1.4317</x:v>
      </x:c>
    </x:row>
    <x:row r="295">
      <x:c r="A295" s="20" t="str">
        <x:v>M3</x:v>
      </x:c>
      <x:c r="B295" s="21" t="str">
        <x:v>T12502</x:v>
      </x:c>
      <x:c r="C295" s="21" t="str">
        <x:v>PLpro inhibitor</x:v>
      </x:c>
      <x:c r="D295" s="21" t="str">
        <x:v>LoVo</x:v>
      </x:c>
      <x:c r="E295" s="21" t="n">
        <x:v>2</x:v>
      </x:c>
      <x:c r="F295" s="21" t="str">
        <x:v>LOVO 2</x:v>
      </x:c>
      <x:c r="G295" s="21" t="str">
        <x:v>normalization_reference</x:v>
      </x:c>
      <x:c r="H295" s="21" t="n">
        <x:v>3</x:v>
      </x:c>
      <x:c r="I295" s="22" t="n">
        <x:v>1.3892</x:v>
      </x:c>
    </x:row>
    <x:row r="296">
      <x:c r="A296" s="20" t="str">
        <x:v>M3</x:v>
      </x:c>
      <x:c r="B296" s="21" t="str">
        <x:v>T12502</x:v>
      </x:c>
      <x:c r="C296" s="21" t="str">
        <x:v>PLpro inhibitor</x:v>
      </x:c>
      <x:c r="D296" s="21" t="str">
        <x:v>LoVo</x:v>
      </x:c>
      <x:c r="E296" s="21" t="n">
        <x:v>2</x:v>
      </x:c>
      <x:c r="F296" s="21" t="str">
        <x:v>LOVO 2</x:v>
      </x:c>
      <x:c r="G296" s="21" t="str">
        <x:v>blank</x:v>
      </x:c>
      <x:c r="H296" s="21" t="n">
        <x:v>1</x:v>
      </x:c>
      <x:c r="I296" s="22" t="n">
        <x:v>0.2089</x:v>
      </x:c>
    </x:row>
    <x:row r="297">
      <x:c r="A297" s="20" t="str">
        <x:v>M3</x:v>
      </x:c>
      <x:c r="B297" s="21" t="str">
        <x:v>T12502</x:v>
      </x:c>
      <x:c r="C297" s="21" t="str">
        <x:v>PLpro inhibitor</x:v>
      </x:c>
      <x:c r="D297" s="21" t="str">
        <x:v>LoVo</x:v>
      </x:c>
      <x:c r="E297" s="21" t="n">
        <x:v>2</x:v>
      </x:c>
      <x:c r="F297" s="21" t="str">
        <x:v>LOVO 2</x:v>
      </x:c>
      <x:c r="G297" s="21" t="str">
        <x:v>blank</x:v>
      </x:c>
      <x:c r="H297" s="21" t="n">
        <x:v>2</x:v>
      </x:c>
      <x:c r="I297" s="22" t="n">
        <x:v>0.1969</x:v>
      </x:c>
    </x:row>
    <x:row r="298">
      <x:c r="A298" s="20" t="str">
        <x:v>M3</x:v>
      </x:c>
      <x:c r="B298" s="21" t="str">
        <x:v>T12502</x:v>
      </x:c>
      <x:c r="C298" s="21" t="str">
        <x:v>PLpro inhibitor</x:v>
      </x:c>
      <x:c r="D298" s="21" t="str">
        <x:v>LoVo</x:v>
      </x:c>
      <x:c r="E298" s="21" t="n">
        <x:v>2</x:v>
      </x:c>
      <x:c r="F298" s="21" t="str">
        <x:v>LOVO 2</x:v>
      </x:c>
      <x:c r="G298" s="21" t="str">
        <x:v>blank</x:v>
      </x:c>
      <x:c r="H298" s="21" t="n">
        <x:v>3</x:v>
      </x:c>
      <x:c r="I298" s="22" t="n">
        <x:v>0.2136</x:v>
      </x:c>
    </x:row>
    <x:row r="299">
      <x:c r="A299" s="20" t="str">
        <x:v>M4</x:v>
      </x:c>
      <x:c r="B299" s="21" t="str">
        <x:v>T6853</x:v>
      </x:c>
      <x:c r="C299" s="21" t="str">
        <x:v>GSK591</x:v>
      </x:c>
      <x:c r="D299" s="21" t="str">
        <x:v>LoVo</x:v>
      </x:c>
      <x:c r="E299" s="21" t="n">
        <x:v>2</x:v>
      </x:c>
      <x:c r="F299" s="21" t="str">
        <x:v>LOVO 2</x:v>
      </x:c>
      <x:c r="G299" s="21" t="str">
        <x:v>treatment</x:v>
      </x:c>
      <x:c r="H299" s="21" t="n">
        <x:v>1</x:v>
      </x:c>
      <x:c r="I299" s="22" t="n">
        <x:v>1.0991</x:v>
      </x:c>
    </x:row>
    <x:row r="300">
      <x:c r="A300" s="20" t="str">
        <x:v>M4</x:v>
      </x:c>
      <x:c r="B300" s="21" t="str">
        <x:v>T6853</x:v>
      </x:c>
      <x:c r="C300" s="21" t="str">
        <x:v>GSK591</x:v>
      </x:c>
      <x:c r="D300" s="21" t="str">
        <x:v>LoVo</x:v>
      </x:c>
      <x:c r="E300" s="21" t="n">
        <x:v>2</x:v>
      </x:c>
      <x:c r="F300" s="21" t="str">
        <x:v>LOVO 2</x:v>
      </x:c>
      <x:c r="G300" s="21" t="str">
        <x:v>treatment</x:v>
      </x:c>
      <x:c r="H300" s="21" t="n">
        <x:v>2</x:v>
      </x:c>
      <x:c r="I300" s="22" t="n">
        <x:v>1.077</x:v>
      </x:c>
    </x:row>
    <x:row r="301">
      <x:c r="A301" s="20" t="str">
        <x:v>M4</x:v>
      </x:c>
      <x:c r="B301" s="21" t="str">
        <x:v>T6853</x:v>
      </x:c>
      <x:c r="C301" s="21" t="str">
        <x:v>GSK591</x:v>
      </x:c>
      <x:c r="D301" s="21" t="str">
        <x:v>LoVo</x:v>
      </x:c>
      <x:c r="E301" s="21" t="n">
        <x:v>2</x:v>
      </x:c>
      <x:c r="F301" s="21" t="str">
        <x:v>LOVO 2</x:v>
      </x:c>
      <x:c r="G301" s="21" t="str">
        <x:v>treatment</x:v>
      </x:c>
      <x:c r="H301" s="21" t="n">
        <x:v>3</x:v>
      </x:c>
      <x:c r="I301" s="22" t="n">
        <x:v>1.0754</x:v>
      </x:c>
    </x:row>
    <x:row r="302">
      <x:c r="A302" s="20" t="str">
        <x:v>M4</x:v>
      </x:c>
      <x:c r="B302" s="21" t="str">
        <x:v>T6853</x:v>
      </x:c>
      <x:c r="C302" s="21" t="str">
        <x:v>GSK591</x:v>
      </x:c>
      <x:c r="D302" s="21" t="str">
        <x:v>LoVo</x:v>
      </x:c>
      <x:c r="E302" s="21" t="n">
        <x:v>2</x:v>
      </x:c>
      <x:c r="F302" s="21" t="str">
        <x:v>LOVO 2</x:v>
      </x:c>
      <x:c r="G302" s="21" t="str">
        <x:v>normalization_reference</x:v>
      </x:c>
      <x:c r="H302" s="21" t="n">
        <x:v>1</x:v>
      </x:c>
      <x:c r="I302" s="22" t="n">
        <x:v>1.4387</x:v>
      </x:c>
    </x:row>
    <x:row r="303">
      <x:c r="A303" s="20" t="str">
        <x:v>M4</x:v>
      </x:c>
      <x:c r="B303" s="21" t="str">
        <x:v>T6853</x:v>
      </x:c>
      <x:c r="C303" s="21" t="str">
        <x:v>GSK591</x:v>
      </x:c>
      <x:c r="D303" s="21" t="str">
        <x:v>LoVo</x:v>
      </x:c>
      <x:c r="E303" s="21" t="n">
        <x:v>2</x:v>
      </x:c>
      <x:c r="F303" s="21" t="str">
        <x:v>LOVO 2</x:v>
      </x:c>
      <x:c r="G303" s="21" t="str">
        <x:v>normalization_reference</x:v>
      </x:c>
      <x:c r="H303" s="21" t="n">
        <x:v>2</x:v>
      </x:c>
      <x:c r="I303" s="22" t="n">
        <x:v>1.4317</x:v>
      </x:c>
    </x:row>
    <x:row r="304">
      <x:c r="A304" s="20" t="str">
        <x:v>M4</x:v>
      </x:c>
      <x:c r="B304" s="21" t="str">
        <x:v>T6853</x:v>
      </x:c>
      <x:c r="C304" s="21" t="str">
        <x:v>GSK591</x:v>
      </x:c>
      <x:c r="D304" s="21" t="str">
        <x:v>LoVo</x:v>
      </x:c>
      <x:c r="E304" s="21" t="n">
        <x:v>2</x:v>
      </x:c>
      <x:c r="F304" s="21" t="str">
        <x:v>LOVO 2</x:v>
      </x:c>
      <x:c r="G304" s="21" t="str">
        <x:v>normalization_reference</x:v>
      </x:c>
      <x:c r="H304" s="21" t="n">
        <x:v>3</x:v>
      </x:c>
      <x:c r="I304" s="22" t="n">
        <x:v>1.3892</x:v>
      </x:c>
    </x:row>
    <x:row r="305">
      <x:c r="A305" s="20" t="str">
        <x:v>M4</x:v>
      </x:c>
      <x:c r="B305" s="21" t="str">
        <x:v>T6853</x:v>
      </x:c>
      <x:c r="C305" s="21" t="str">
        <x:v>GSK591</x:v>
      </x:c>
      <x:c r="D305" s="21" t="str">
        <x:v>LoVo</x:v>
      </x:c>
      <x:c r="E305" s="21" t="n">
        <x:v>2</x:v>
      </x:c>
      <x:c r="F305" s="21" t="str">
        <x:v>LOVO 2</x:v>
      </x:c>
      <x:c r="G305" s="21" t="str">
        <x:v>blank</x:v>
      </x:c>
      <x:c r="H305" s="21" t="n">
        <x:v>1</x:v>
      </x:c>
      <x:c r="I305" s="22" t="n">
        <x:v>0.2089</x:v>
      </x:c>
    </x:row>
    <x:row r="306">
      <x:c r="A306" s="20" t="str">
        <x:v>M4</x:v>
      </x:c>
      <x:c r="B306" s="21" t="str">
        <x:v>T6853</x:v>
      </x:c>
      <x:c r="C306" s="21" t="str">
        <x:v>GSK591</x:v>
      </x:c>
      <x:c r="D306" s="21" t="str">
        <x:v>LoVo</x:v>
      </x:c>
      <x:c r="E306" s="21" t="n">
        <x:v>2</x:v>
      </x:c>
      <x:c r="F306" s="21" t="str">
        <x:v>LOVO 2</x:v>
      </x:c>
      <x:c r="G306" s="21" t="str">
        <x:v>blank</x:v>
      </x:c>
      <x:c r="H306" s="21" t="n">
        <x:v>2</x:v>
      </x:c>
      <x:c r="I306" s="22" t="n">
        <x:v>0.1969</x:v>
      </x:c>
    </x:row>
    <x:row r="307">
      <x:c r="A307" s="20" t="str">
        <x:v>M4</x:v>
      </x:c>
      <x:c r="B307" s="21" t="str">
        <x:v>T6853</x:v>
      </x:c>
      <x:c r="C307" s="21" t="str">
        <x:v>GSK591</x:v>
      </x:c>
      <x:c r="D307" s="21" t="str">
        <x:v>LoVo</x:v>
      </x:c>
      <x:c r="E307" s="21" t="n">
        <x:v>2</x:v>
      </x:c>
      <x:c r="F307" s="21" t="str">
        <x:v>LOVO 2</x:v>
      </x:c>
      <x:c r="G307" s="21" t="str">
        <x:v>blank</x:v>
      </x:c>
      <x:c r="H307" s="21" t="n">
        <x:v>3</x:v>
      </x:c>
      <x:c r="I307" s="22" t="n">
        <x:v>0.2136</x:v>
      </x:c>
    </x:row>
    <x:row r="308">
      <x:c r="A308" s="20" t="str">
        <x:v>M5</x:v>
      </x:c>
      <x:c r="B308" s="21" t="str">
        <x:v>T6980</x:v>
      </x:c>
      <x:c r="C308" s="21" t="str">
        <x:v>Scriptaid</x:v>
      </x:c>
      <x:c r="D308" s="21" t="str">
        <x:v>LoVo</x:v>
      </x:c>
      <x:c r="E308" s="21" t="n">
        <x:v>2</x:v>
      </x:c>
      <x:c r="F308" s="21" t="str">
        <x:v>LOVO 2</x:v>
      </x:c>
      <x:c r="G308" s="21" t="str">
        <x:v>treatment</x:v>
      </x:c>
      <x:c r="H308" s="21" t="n">
        <x:v>1</x:v>
      </x:c>
      <x:c r="I308" s="22" t="n">
        <x:v>0.2596</x:v>
      </x:c>
    </x:row>
    <x:row r="309">
      <x:c r="A309" s="20" t="str">
        <x:v>M5</x:v>
      </x:c>
      <x:c r="B309" s="21" t="str">
        <x:v>T6980</x:v>
      </x:c>
      <x:c r="C309" s="21" t="str">
        <x:v>Scriptaid</x:v>
      </x:c>
      <x:c r="D309" s="21" t="str">
        <x:v>LoVo</x:v>
      </x:c>
      <x:c r="E309" s="21" t="n">
        <x:v>2</x:v>
      </x:c>
      <x:c r="F309" s="21" t="str">
        <x:v>LOVO 2</x:v>
      </x:c>
      <x:c r="G309" s="21" t="str">
        <x:v>treatment</x:v>
      </x:c>
      <x:c r="H309" s="21" t="n">
        <x:v>2</x:v>
      </x:c>
      <x:c r="I309" s="22" t="n">
        <x:v>0.269</x:v>
      </x:c>
    </x:row>
    <x:row r="310">
      <x:c r="A310" s="20" t="str">
        <x:v>M5</x:v>
      </x:c>
      <x:c r="B310" s="21" t="str">
        <x:v>T6980</x:v>
      </x:c>
      <x:c r="C310" s="21" t="str">
        <x:v>Scriptaid</x:v>
      </x:c>
      <x:c r="D310" s="21" t="str">
        <x:v>LoVo</x:v>
      </x:c>
      <x:c r="E310" s="21" t="n">
        <x:v>2</x:v>
      </x:c>
      <x:c r="F310" s="21" t="str">
        <x:v>LOVO 2</x:v>
      </x:c>
      <x:c r="G310" s="21" t="str">
        <x:v>treatment</x:v>
      </x:c>
      <x:c r="H310" s="21" t="n">
        <x:v>3</x:v>
      </x:c>
      <x:c r="I310" s="22" t="n">
        <x:v>0.2524</x:v>
      </x:c>
    </x:row>
    <x:row r="311">
      <x:c r="A311" s="20" t="str">
        <x:v>M5</x:v>
      </x:c>
      <x:c r="B311" s="21" t="str">
        <x:v>T6980</x:v>
      </x:c>
      <x:c r="C311" s="21" t="str">
        <x:v>Scriptaid</x:v>
      </x:c>
      <x:c r="D311" s="21" t="str">
        <x:v>LoVo</x:v>
      </x:c>
      <x:c r="E311" s="21" t="n">
        <x:v>2</x:v>
      </x:c>
      <x:c r="F311" s="21" t="str">
        <x:v>LOVO 2</x:v>
      </x:c>
      <x:c r="G311" s="21" t="str">
        <x:v>normalization_reference</x:v>
      </x:c>
      <x:c r="H311" s="21" t="n">
        <x:v>1</x:v>
      </x:c>
      <x:c r="I311" s="22" t="n">
        <x:v>1.4387</x:v>
      </x:c>
    </x:row>
    <x:row r="312">
      <x:c r="A312" s="20" t="str">
        <x:v>M5</x:v>
      </x:c>
      <x:c r="B312" s="21" t="str">
        <x:v>T6980</x:v>
      </x:c>
      <x:c r="C312" s="21" t="str">
        <x:v>Scriptaid</x:v>
      </x:c>
      <x:c r="D312" s="21" t="str">
        <x:v>LoVo</x:v>
      </x:c>
      <x:c r="E312" s="21" t="n">
        <x:v>2</x:v>
      </x:c>
      <x:c r="F312" s="21" t="str">
        <x:v>LOVO 2</x:v>
      </x:c>
      <x:c r="G312" s="21" t="str">
        <x:v>normalization_reference</x:v>
      </x:c>
      <x:c r="H312" s="21" t="n">
        <x:v>2</x:v>
      </x:c>
      <x:c r="I312" s="22" t="n">
        <x:v>1.4317</x:v>
      </x:c>
    </x:row>
    <x:row r="313">
      <x:c r="A313" s="20" t="str">
        <x:v>M5</x:v>
      </x:c>
      <x:c r="B313" s="21" t="str">
        <x:v>T6980</x:v>
      </x:c>
      <x:c r="C313" s="21" t="str">
        <x:v>Scriptaid</x:v>
      </x:c>
      <x:c r="D313" s="21" t="str">
        <x:v>LoVo</x:v>
      </x:c>
      <x:c r="E313" s="21" t="n">
        <x:v>2</x:v>
      </x:c>
      <x:c r="F313" s="21" t="str">
        <x:v>LOVO 2</x:v>
      </x:c>
      <x:c r="G313" s="21" t="str">
        <x:v>normalization_reference</x:v>
      </x:c>
      <x:c r="H313" s="21" t="n">
        <x:v>3</x:v>
      </x:c>
      <x:c r="I313" s="22" t="n">
        <x:v>1.3892</x:v>
      </x:c>
    </x:row>
    <x:row r="314">
      <x:c r="A314" s="20" t="str">
        <x:v>M5</x:v>
      </x:c>
      <x:c r="B314" s="21" t="str">
        <x:v>T6980</x:v>
      </x:c>
      <x:c r="C314" s="21" t="str">
        <x:v>Scriptaid</x:v>
      </x:c>
      <x:c r="D314" s="21" t="str">
        <x:v>LoVo</x:v>
      </x:c>
      <x:c r="E314" s="21" t="n">
        <x:v>2</x:v>
      </x:c>
      <x:c r="F314" s="21" t="str">
        <x:v>LOVO 2</x:v>
      </x:c>
      <x:c r="G314" s="21" t="str">
        <x:v>blank</x:v>
      </x:c>
      <x:c r="H314" s="21" t="n">
        <x:v>1</x:v>
      </x:c>
      <x:c r="I314" s="22" t="n">
        <x:v>0.2089</x:v>
      </x:c>
    </x:row>
    <x:row r="315">
      <x:c r="A315" s="20" t="str">
        <x:v>M5</x:v>
      </x:c>
      <x:c r="B315" s="21" t="str">
        <x:v>T6980</x:v>
      </x:c>
      <x:c r="C315" s="21" t="str">
        <x:v>Scriptaid</x:v>
      </x:c>
      <x:c r="D315" s="21" t="str">
        <x:v>LoVo</x:v>
      </x:c>
      <x:c r="E315" s="21" t="n">
        <x:v>2</x:v>
      </x:c>
      <x:c r="F315" s="21" t="str">
        <x:v>LOVO 2</x:v>
      </x:c>
      <x:c r="G315" s="21" t="str">
        <x:v>blank</x:v>
      </x:c>
      <x:c r="H315" s="21" t="n">
        <x:v>2</x:v>
      </x:c>
      <x:c r="I315" s="22" t="n">
        <x:v>0.1969</x:v>
      </x:c>
    </x:row>
    <x:row r="316">
      <x:c r="A316" s="20" t="str">
        <x:v>M5</x:v>
      </x:c>
      <x:c r="B316" s="21" t="str">
        <x:v>T6980</x:v>
      </x:c>
      <x:c r="C316" s="21" t="str">
        <x:v>Scriptaid</x:v>
      </x:c>
      <x:c r="D316" s="21" t="str">
        <x:v>LoVo</x:v>
      </x:c>
      <x:c r="E316" s="21" t="n">
        <x:v>2</x:v>
      </x:c>
      <x:c r="F316" s="21" t="str">
        <x:v>LOVO 2</x:v>
      </x:c>
      <x:c r="G316" s="21" t="str">
        <x:v>blank</x:v>
      </x:c>
      <x:c r="H316" s="21" t="n">
        <x:v>3</x:v>
      </x:c>
      <x:c r="I316" s="22" t="n">
        <x:v>0.2136</x:v>
      </x:c>
    </x:row>
    <x:row r="317">
      <x:c r="A317" s="20" t="str">
        <x:v>M6</x:v>
      </x:c>
      <x:c r="B317" s="21" t="str">
        <x:v>T60904</x:v>
      </x:c>
      <x:c r="C317" s="21" t="str">
        <x:v>ERCC1-XPF-IN-2</x:v>
      </x:c>
      <x:c r="D317" s="21" t="str">
        <x:v>LoVo</x:v>
      </x:c>
      <x:c r="E317" s="21" t="n">
        <x:v>2</x:v>
      </x:c>
      <x:c r="F317" s="21" t="str">
        <x:v>LOVO 2</x:v>
      </x:c>
      <x:c r="G317" s="21" t="str">
        <x:v>treatment</x:v>
      </x:c>
      <x:c r="H317" s="21" t="n">
        <x:v>1</x:v>
      </x:c>
      <x:c r="I317" s="22" t="n">
        <x:v>1.1035</x:v>
      </x:c>
    </x:row>
    <x:row r="318">
      <x:c r="A318" s="20" t="str">
        <x:v>M6</x:v>
      </x:c>
      <x:c r="B318" s="21" t="str">
        <x:v>T60904</x:v>
      </x:c>
      <x:c r="C318" s="21" t="str">
        <x:v>ERCC1-XPF-IN-2</x:v>
      </x:c>
      <x:c r="D318" s="21" t="str">
        <x:v>LoVo</x:v>
      </x:c>
      <x:c r="E318" s="21" t="n">
        <x:v>2</x:v>
      </x:c>
      <x:c r="F318" s="21" t="str">
        <x:v>LOVO 2</x:v>
      </x:c>
      <x:c r="G318" s="21" t="str">
        <x:v>treatment</x:v>
      </x:c>
      <x:c r="H318" s="21" t="n">
        <x:v>2</x:v>
      </x:c>
      <x:c r="I318" s="22" t="n">
        <x:v>1.1238</x:v>
      </x:c>
    </x:row>
    <x:row r="319">
      <x:c r="A319" s="20" t="str">
        <x:v>M6</x:v>
      </x:c>
      <x:c r="B319" s="21" t="str">
        <x:v>T60904</x:v>
      </x:c>
      <x:c r="C319" s="21" t="str">
        <x:v>ERCC1-XPF-IN-2</x:v>
      </x:c>
      <x:c r="D319" s="21" t="str">
        <x:v>LoVo</x:v>
      </x:c>
      <x:c r="E319" s="21" t="n">
        <x:v>2</x:v>
      </x:c>
      <x:c r="F319" s="21" t="str">
        <x:v>LOVO 2</x:v>
      </x:c>
      <x:c r="G319" s="21" t="str">
        <x:v>treatment</x:v>
      </x:c>
      <x:c r="H319" s="21" t="n">
        <x:v>3</x:v>
      </x:c>
      <x:c r="I319" s="22" t="n">
        <x:v>1.1202</x:v>
      </x:c>
    </x:row>
    <x:row r="320">
      <x:c r="A320" s="20" t="str">
        <x:v>M6</x:v>
      </x:c>
      <x:c r="B320" s="21" t="str">
        <x:v>T60904</x:v>
      </x:c>
      <x:c r="C320" s="21" t="str">
        <x:v>ERCC1-XPF-IN-2</x:v>
      </x:c>
      <x:c r="D320" s="21" t="str">
        <x:v>LoVo</x:v>
      </x:c>
      <x:c r="E320" s="21" t="n">
        <x:v>2</x:v>
      </x:c>
      <x:c r="F320" s="21" t="str">
        <x:v>LOVO 2</x:v>
      </x:c>
      <x:c r="G320" s="21" t="str">
        <x:v>normalization_reference</x:v>
      </x:c>
      <x:c r="H320" s="21" t="n">
        <x:v>1</x:v>
      </x:c>
      <x:c r="I320" s="22" t="n">
        <x:v>1.4387</x:v>
      </x:c>
    </x:row>
    <x:row r="321">
      <x:c r="A321" s="20" t="str">
        <x:v>M6</x:v>
      </x:c>
      <x:c r="B321" s="21" t="str">
        <x:v>T60904</x:v>
      </x:c>
      <x:c r="C321" s="21" t="str">
        <x:v>ERCC1-XPF-IN-2</x:v>
      </x:c>
      <x:c r="D321" s="21" t="str">
        <x:v>LoVo</x:v>
      </x:c>
      <x:c r="E321" s="21" t="n">
        <x:v>2</x:v>
      </x:c>
      <x:c r="F321" s="21" t="str">
        <x:v>LOVO 2</x:v>
      </x:c>
      <x:c r="G321" s="21" t="str">
        <x:v>normalization_reference</x:v>
      </x:c>
      <x:c r="H321" s="21" t="n">
        <x:v>2</x:v>
      </x:c>
      <x:c r="I321" s="22" t="n">
        <x:v>1.4317</x:v>
      </x:c>
    </x:row>
    <x:row r="322">
      <x:c r="A322" s="20" t="str">
        <x:v>M6</x:v>
      </x:c>
      <x:c r="B322" s="21" t="str">
        <x:v>T60904</x:v>
      </x:c>
      <x:c r="C322" s="21" t="str">
        <x:v>ERCC1-XPF-IN-2</x:v>
      </x:c>
      <x:c r="D322" s="21" t="str">
        <x:v>LoVo</x:v>
      </x:c>
      <x:c r="E322" s="21" t="n">
        <x:v>2</x:v>
      </x:c>
      <x:c r="F322" s="21" t="str">
        <x:v>LOVO 2</x:v>
      </x:c>
      <x:c r="G322" s="21" t="str">
        <x:v>normalization_reference</x:v>
      </x:c>
      <x:c r="H322" s="21" t="n">
        <x:v>3</x:v>
      </x:c>
      <x:c r="I322" s="22" t="n">
        <x:v>1.3892</x:v>
      </x:c>
    </x:row>
    <x:row r="323">
      <x:c r="A323" s="20" t="str">
        <x:v>M6</x:v>
      </x:c>
      <x:c r="B323" s="21" t="str">
        <x:v>T60904</x:v>
      </x:c>
      <x:c r="C323" s="21" t="str">
        <x:v>ERCC1-XPF-IN-2</x:v>
      </x:c>
      <x:c r="D323" s="21" t="str">
        <x:v>LoVo</x:v>
      </x:c>
      <x:c r="E323" s="21" t="n">
        <x:v>2</x:v>
      </x:c>
      <x:c r="F323" s="21" t="str">
        <x:v>LOVO 2</x:v>
      </x:c>
      <x:c r="G323" s="21" t="str">
        <x:v>blank</x:v>
      </x:c>
      <x:c r="H323" s="21" t="n">
        <x:v>1</x:v>
      </x:c>
      <x:c r="I323" s="22" t="n">
        <x:v>0.2089</x:v>
      </x:c>
    </x:row>
    <x:row r="324">
      <x:c r="A324" s="20" t="str">
        <x:v>M6</x:v>
      </x:c>
      <x:c r="B324" s="21" t="str">
        <x:v>T60904</x:v>
      </x:c>
      <x:c r="C324" s="21" t="str">
        <x:v>ERCC1-XPF-IN-2</x:v>
      </x:c>
      <x:c r="D324" s="21" t="str">
        <x:v>LoVo</x:v>
      </x:c>
      <x:c r="E324" s="21" t="n">
        <x:v>2</x:v>
      </x:c>
      <x:c r="F324" s="21" t="str">
        <x:v>LOVO 2</x:v>
      </x:c>
      <x:c r="G324" s="21" t="str">
        <x:v>blank</x:v>
      </x:c>
      <x:c r="H324" s="21" t="n">
        <x:v>2</x:v>
      </x:c>
      <x:c r="I324" s="22" t="n">
        <x:v>0.1969</x:v>
      </x:c>
    </x:row>
    <x:row r="325">
      <x:c r="A325" s="23" t="str">
        <x:v>M6</x:v>
      </x:c>
      <x:c r="B325" s="24" t="str">
        <x:v>T60904</x:v>
      </x:c>
      <x:c r="C325" s="24" t="str">
        <x:v>ERCC1-XPF-IN-2</x:v>
      </x:c>
      <x:c r="D325" s="24" t="str">
        <x:v>LoVo</x:v>
      </x:c>
      <x:c r="E325" s="24" t="n">
        <x:v>2</x:v>
      </x:c>
      <x:c r="F325" s="24" t="str">
        <x:v>LOVO 2</x:v>
      </x:c>
      <x:c r="G325" s="24" t="str">
        <x:v>blank</x:v>
      </x:c>
      <x:c r="H325" s="24" t="n">
        <x:v>3</x:v>
      </x:c>
      <x:c r="I325" s="25" t="n">
        <x:v>0.2136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28" hidden="0" customWidth="1"/>
    <x:col min="4" max="4" width="15" hidden="0" customWidth="1"/>
    <x:col min="5" max="5" width="15" hidden="0" customWidth="1"/>
    <x:col min="6" max="6" width="15" hidden="0" customWidth="1"/>
    <x:col min="7" max="7" width="24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>
      <x:c r="A1" s="9" t="str">
        <x:v>panel_id</x:v>
      </x:c>
      <x:c r="B1" s="32" t="str">
        <x:v>compound_id</x:v>
      </x:c>
      <x:c r="C1" s="32" t="str">
        <x:v>compound_name</x:v>
      </x:c>
      <x:c r="D1" s="32" t="str">
        <x:v>cell_line</x:v>
      </x:c>
      <x:c r="E1" s="32" t="str">
        <x:v>plate_id</x:v>
      </x:c>
      <x:c r="F1" s="32" t="str">
        <x:v>source_sheet</x:v>
      </x:c>
      <x:c r="G1" s="32" t="str">
        <x:v>source_formula</x:v>
      </x:c>
      <x:c r="H1" s="32" t="str">
        <x:v>normalization_reference_signal_cell</x:v>
      </x:c>
      <x:c r="I1" s="32" t="str">
        <x:v>blank_mean_cell</x:v>
      </x:c>
      <x:c r="J1" s="32" t="str">
        <x:v>treatment_od_1</x:v>
      </x:c>
      <x:c r="K1" s="32" t="str">
        <x:v>treatment_od_2</x:v>
      </x:c>
      <x:c r="L1" s="32" t="str">
        <x:v>treatment_od_3</x:v>
      </x:c>
      <x:c r="M1" s="32" t="str">
        <x:v>reference_od_1</x:v>
      </x:c>
      <x:c r="N1" s="32" t="str">
        <x:v>reference_od_2</x:v>
      </x:c>
      <x:c r="O1" s="32" t="str">
        <x:v>reference_od_3</x:v>
      </x:c>
      <x:c r="P1" s="32" t="str">
        <x:v>blank_od_1</x:v>
      </x:c>
      <x:c r="Q1" s="32" t="str">
        <x:v>blank_od_2</x:v>
      </x:c>
      <x:c r="R1" s="32" t="str">
        <x:v>blank_od_3</x:v>
      </x:c>
      <x:c r="S1" s="32" t="str">
        <x:v>treatment_mean</x:v>
      </x:c>
      <x:c r="T1" s="32" t="str">
        <x:v>reference_mean</x:v>
      </x:c>
      <x:c r="U1" s="32" t="str">
        <x:v>blank_mean</x:v>
      </x:c>
      <x:c r="V1" s="32" t="str">
        <x:v>inhibition_fraction</x:v>
      </x:c>
      <x:c r="W1" s="32" t="str">
        <x:v>inhibition_pct</x:v>
      </x:c>
      <x:c r="X1" s="32" t="str">
        <x:v>reported_inhibition_fraction</x:v>
      </x:c>
      <x:c r="Y1" s="32" t="str">
        <x:v>absolute_delta</x:v>
      </x:c>
      <x:c r="Z1" s="33" t="str">
        <x:v>check</x:v>
      </x:c>
    </x:row>
    <x:row r="2">
      <x:c r="A2" s="20" t="str">
        <x:v>M1</x:v>
      </x:c>
      <x:c r="B2" s="21" t="str">
        <x:v>T9335</x:v>
      </x:c>
      <x:c r="C2" s="21" t="str">
        <x:v>1,1'-Methylenedi-2-naphthol</x:v>
      </x:c>
      <x:c r="D2" s="21" t="str">
        <x:v>HCT116</x:v>
      </x:c>
      <x:c r="E2" s="21" t="str">
        <x:v>1</x:v>
      </x:c>
      <x:c r="F2" s="21" t="str">
        <x:v>HCT-116 1</x:v>
      </x:c>
      <x:c r="G2" s="21" t="str">
        <x:v>=1-H19/$I$19</x:v>
      </x:c>
      <x:c r="H2" s="21" t="str">
        <x:v>I19</x:v>
      </x:c>
      <x:c r="I2" s="21" t="str">
        <x:v>J10</x:v>
      </x:c>
      <x:c r="J2" s="21" t="n">
        <x:v>0.9137</x:v>
      </x:c>
      <x:c r="K2" s="21" t="n">
        <x:v>1.0598</x:v>
      </x:c>
      <x:c r="L2" s="21" t="n">
        <x:v>0.8319</x:v>
      </x:c>
      <x:c r="M2" s="21" t="n">
        <x:v>1.4315</x:v>
      </x:c>
      <x:c r="N2" s="21" t="n">
        <x:v>1.3717</x:v>
      </x:c>
      <x:c r="O2" s="21" t="n">
        <x:v>1.1475</x:v>
      </x:c>
      <x:c r="P2" s="21" t="n">
        <x:v>0.3439</x:v>
      </x:c>
      <x:c r="Q2" s="21" t="n">
        <x:v>0.3166</x:v>
      </x:c>
      <x:c r="R2" s="21" t="n">
        <x:v>0.3193</x:v>
      </x:c>
      <x:c r="S2" s="34" t="n">
        <x:f>AVERAGE(J2:L2)</x:f>
        <x:v>0.9351333333333334</x:v>
      </x:c>
      <x:c r="T2" s="34" t="n">
        <x:f>AVERAGE(M2:O2)</x:f>
        <x:v>1.3169</x:v>
      </x:c>
      <x:c r="U2" s="34" t="n">
        <x:f>AVERAGE(P2:R2)</x:f>
        <x:v>0.3266</x:v>
      </x:c>
      <x:c r="V2" s="34" t="n">
        <x:f>1-(S2-U2)/(T2-U2)</x:f>
        <x:v>0.3855060755999865</x:v>
      </x:c>
      <x:c r="W2" s="34" t="n">
        <x:f>V2*100</x:f>
        <x:v>38.55060755999865</x:v>
      </x:c>
      <x:c r="X2" s="34" t="n">
        <x:v>0.385506075599987</x:v>
      </x:c>
      <x:c r="Y2" s="36" t="n">
        <x:f>ABS(V2-X2)</x:f>
        <x:v>4.996003610813204e-16</x:v>
      </x:c>
      <x:c r="Z2" s="42" t="str">
        <x:f>IF(Y2&lt;1E-10,"PASS","FAIL")</x:f>
        <x:v>PASS</x:v>
      </x:c>
    </x:row>
    <x:row r="3">
      <x:c r="A3" s="20" t="str">
        <x:v>M2</x:v>
      </x:c>
      <x:c r="B3" s="21" t="str">
        <x:v>T61189</x:v>
      </x:c>
      <x:c r="C3" s="21" t="str">
        <x:v>E7016</x:v>
      </x:c>
      <x:c r="D3" s="21" t="str">
        <x:v>HCT116</x:v>
      </x:c>
      <x:c r="E3" s="21" t="str">
        <x:v>1</x:v>
      </x:c>
      <x:c r="F3" s="21" t="str">
        <x:v>HCT-116 1</x:v>
      </x:c>
      <x:c r="G3" s="21" t="str">
        <x:v>=1-D19/$I$19</x:v>
      </x:c>
      <x:c r="H3" s="21" t="str">
        <x:v>I19</x:v>
      </x:c>
      <x:c r="I3" s="21" t="str">
        <x:v>J10</x:v>
      </x:c>
      <x:c r="J3" s="21" t="n">
        <x:v>1.0172</x:v>
      </x:c>
      <x:c r="K3" s="21" t="n">
        <x:v>1.6888</x:v>
      </x:c>
      <x:c r="L3" s="21" t="n">
        <x:v>1.4126</x:v>
      </x:c>
      <x:c r="M3" s="21" t="n">
        <x:v>1.4315</x:v>
      </x:c>
      <x:c r="N3" s="21" t="n">
        <x:v>1.3717</x:v>
      </x:c>
      <x:c r="O3" s="21" t="n">
        <x:v>1.1475</x:v>
      </x:c>
      <x:c r="P3" s="21" t="n">
        <x:v>0.3439</x:v>
      </x:c>
      <x:c r="Q3" s="21" t="n">
        <x:v>0.3166</x:v>
      </x:c>
      <x:c r="R3" s="21" t="n">
        <x:v>0.3193</x:v>
      </x:c>
      <x:c r="S3" s="34" t="n">
        <x:f>AVERAGE(J3:L3)</x:f>
        <x:v>1.372866666666667</x:v>
      </x:c>
      <x:c r="T3" s="34" t="n">
        <x:f>AVERAGE(M3:O3)</x:f>
        <x:v>1.3169</x:v>
      </x:c>
      <x:c r="U3" s="34" t="n">
        <x:f>AVERAGE(P3:R3)</x:f>
        <x:v>0.3266</x:v>
      </x:c>
      <x:c r="V3" s="34" t="n">
        <x:f>1-(S3-U3)/(T3-U3)</x:f>
        <x:v>-0.05651486081658774</x:v>
      </x:c>
      <x:c r="W3" s="34" t="n">
        <x:f>V3*100</x:f>
        <x:v>-5.651486081658774</x:v>
      </x:c>
      <x:c r="X3" s="34" t="n">
        <x:v>-0.0565148608165877</x:v>
      </x:c>
      <x:c r="Y3" s="36" t="n">
        <x:f>ABS(V3-X3)</x:f>
        <x:v>4.163336342344337e-17</x:v>
      </x:c>
      <x:c r="Z3" s="42" t="str">
        <x:f>IF(Y3&lt;1E-10,"PASS","FAIL")</x:f>
        <x:v>PASS</x:v>
      </x:c>
    </x:row>
    <x:row r="4">
      <x:c r="A4" s="20" t="str">
        <x:v>M3</x:v>
      </x:c>
      <x:c r="B4" s="21" t="str">
        <x:v>T12502</x:v>
      </x:c>
      <x:c r="C4" s="21" t="str">
        <x:v>PLpro inhibitor</x:v>
      </x:c>
      <x:c r="D4" s="21" t="str">
        <x:v>HCT116</x:v>
      </x:c>
      <x:c r="E4" s="21" t="str">
        <x:v>2</x:v>
      </x:c>
      <x:c r="F4" s="21" t="str">
        <x:v>HCT-116 2</x:v>
      </x:c>
      <x:c r="G4" s="21" t="str">
        <x:v>=1-D18/$F$19</x:v>
      </x:c>
      <x:c r="H4" s="21" t="str">
        <x:v>F19</x:v>
      </x:c>
      <x:c r="I4" s="21" t="str">
        <x:v>G10</x:v>
      </x:c>
      <x:c r="J4" s="21" t="n">
        <x:v>1.6549</x:v>
      </x:c>
      <x:c r="K4" s="21" t="n">
        <x:v>1.4238</x:v>
      </x:c>
      <x:c r="L4" s="21" t="n">
        <x:v>1.6164</x:v>
      </x:c>
      <x:c r="M4" s="21" t="n">
        <x:v>1.2811</x:v>
      </x:c>
      <x:c r="N4" s="21" t="n">
        <x:v>1.4958</x:v>
      </x:c>
      <x:c r="O4" s="21" t="n">
        <x:v>1.3525</x:v>
      </x:c>
      <x:c r="P4" s="21" t="n">
        <x:v>0.2909</x:v>
      </x:c>
      <x:c r="Q4" s="21" t="n">
        <x:v>0.2863</x:v>
      </x:c>
      <x:c r="R4" s="21" t="n">
        <x:v>0.2938</x:v>
      </x:c>
      <x:c r="S4" s="34" t="n">
        <x:f>AVERAGE(J4:L4)</x:f>
        <x:v>1.5650333333333333</x:v>
      </x:c>
      <x:c r="T4" s="34" t="n">
        <x:f>AVERAGE(M4:O4)</x:f>
        <x:v>1.3764666666666667</x:v>
      </x:c>
      <x:c r="U4" s="34" t="n">
        <x:f>AVERAGE(P4:R4)</x:f>
        <x:v>0.29033333333333333</x:v>
      </x:c>
      <x:c r="V4" s="34" t="n">
        <x:f>1-(S4-U4)/(T4-U4)</x:f>
        <x:v>-0.17361281610606416</x:v>
      </x:c>
      <x:c r="W4" s="34" t="n">
        <x:f>V4*100</x:f>
        <x:v>-17.361281610606415</x:v>
      </x:c>
      <x:c r="X4" s="34" t="n">
        <x:v>-0.173612816106064</x:v>
      </x:c>
      <x:c r="Y4" s="36" t="n">
        <x:f>ABS(V4-X4)</x:f>
        <x:v>1.6653345369377348e-16</x:v>
      </x:c>
      <x:c r="Z4" s="42" t="str">
        <x:f>IF(Y4&lt;1E-10,"PASS","FAIL")</x:f>
        <x:v>PASS</x:v>
      </x:c>
    </x:row>
    <x:row r="5">
      <x:c r="A5" s="20" t="str">
        <x:v>M4</x:v>
      </x:c>
      <x:c r="B5" s="21" t="str">
        <x:v>T6853</x:v>
      </x:c>
      <x:c r="C5" s="21" t="str">
        <x:v>GSK591</x:v>
      </x:c>
      <x:c r="D5" s="21" t="str">
        <x:v>HCT116</x:v>
      </x:c>
      <x:c r="E5" s="21" t="str">
        <x:v>2</x:v>
      </x:c>
      <x:c r="F5" s="21" t="str">
        <x:v>HCT-116 2</x:v>
      </x:c>
      <x:c r="G5" s="21" t="str">
        <x:v>=1-E18/$F$19</x:v>
      </x:c>
      <x:c r="H5" s="21" t="str">
        <x:v>F19</x:v>
      </x:c>
      <x:c r="I5" s="21" t="str">
        <x:v>G10</x:v>
      </x:c>
      <x:c r="J5" s="21" t="n">
        <x:v>0.8034</x:v>
      </x:c>
      <x:c r="K5" s="21" t="n">
        <x:v>1.311</x:v>
      </x:c>
      <x:c r="L5" s="21" t="n">
        <x:v>1.0649</x:v>
      </x:c>
      <x:c r="M5" s="21" t="n">
        <x:v>1.2811</x:v>
      </x:c>
      <x:c r="N5" s="21" t="n">
        <x:v>1.4958</x:v>
      </x:c>
      <x:c r="O5" s="21" t="n">
        <x:v>1.3525</x:v>
      </x:c>
      <x:c r="P5" s="21" t="n">
        <x:v>0.2909</x:v>
      </x:c>
      <x:c r="Q5" s="21" t="n">
        <x:v>0.2863</x:v>
      </x:c>
      <x:c r="R5" s="21" t="n">
        <x:v>0.2938</x:v>
      </x:c>
      <x:c r="S5" s="34" t="n">
        <x:f>AVERAGE(J5:L5)</x:f>
        <x:v>1.0597666666666665</x:v>
      </x:c>
      <x:c r="T5" s="34" t="n">
        <x:f>AVERAGE(M5:O5)</x:f>
        <x:v>1.3764666666666667</x:v>
      </x:c>
      <x:c r="U5" s="34" t="n">
        <x:f>AVERAGE(P5:R5)</x:f>
        <x:v>0.29033333333333333</x:v>
      </x:c>
      <x:c r="V5" s="34" t="n">
        <x:f>1-(S5-U5)/(T5-U5)</x:f>
        <x:v>0.2915848269089125</x:v>
      </x:c>
      <x:c r="W5" s="34" t="n">
        <x:f>V5*100</x:f>
        <x:v>29.15848269089125</x:v>
      </x:c>
      <x:c r="X5" s="34" t="n">
        <x:v>0.291584826908913</x:v>
      </x:c>
      <x:c r="Y5" s="36" t="n">
        <x:f>ABS(V5-X5)</x:f>
        <x:v>4.996003610813204e-16</x:v>
      </x:c>
      <x:c r="Z5" s="42" t="str">
        <x:f>IF(Y5&lt;1E-10,"PASS","FAIL")</x:f>
        <x:v>PASS</x:v>
      </x:c>
    </x:row>
    <x:row r="6">
      <x:c r="A6" s="20" t="str">
        <x:v>M5</x:v>
      </x:c>
      <x:c r="B6" s="21" t="str">
        <x:v>T6980</x:v>
      </x:c>
      <x:c r="C6" s="21" t="str">
        <x:v>Scriptaid</x:v>
      </x:c>
      <x:c r="D6" s="21" t="str">
        <x:v>HCT116</x:v>
      </x:c>
      <x:c r="E6" s="21" t="str">
        <x:v>2</x:v>
      </x:c>
      <x:c r="F6" s="21" t="str">
        <x:v>HCT-116 2</x:v>
      </x:c>
      <x:c r="G6" s="21" t="str">
        <x:v>=1-J18/$F$19</x:v>
      </x:c>
      <x:c r="H6" s="21" t="str">
        <x:v>F19</x:v>
      </x:c>
      <x:c r="I6" s="21" t="str">
        <x:v>G10</x:v>
      </x:c>
      <x:c r="J6" s="21" t="n">
        <x:v>0.341</x:v>
      </x:c>
      <x:c r="K6" s="21" t="n">
        <x:v>0.2965</x:v>
      </x:c>
      <x:c r="L6" s="21" t="n">
        <x:v>0.2744</x:v>
      </x:c>
      <x:c r="M6" s="21" t="n">
        <x:v>1.2811</x:v>
      </x:c>
      <x:c r="N6" s="21" t="n">
        <x:v>1.4958</x:v>
      </x:c>
      <x:c r="O6" s="21" t="n">
        <x:v>1.3525</x:v>
      </x:c>
      <x:c r="P6" s="21" t="n">
        <x:v>0.2909</x:v>
      </x:c>
      <x:c r="Q6" s="21" t="n">
        <x:v>0.2863</x:v>
      </x:c>
      <x:c r="R6" s="21" t="n">
        <x:v>0.2938</x:v>
      </x:c>
      <x:c r="S6" s="34" t="n">
        <x:f>AVERAGE(J6:L6)</x:f>
        <x:v>0.30396666666666666</x:v>
      </x:c>
      <x:c r="T6" s="34" t="n">
        <x:f>AVERAGE(M6:O6)</x:f>
        <x:v>1.3764666666666667</x:v>
      </x:c>
      <x:c r="U6" s="34" t="n">
        <x:f>AVERAGE(P6:R6)</x:f>
        <x:v>0.29033333333333333</x:v>
      </x:c>
      <x:c r="V6" s="34" t="n">
        <x:f>1-(S6-U6)/(T6-U6)</x:f>
        <x:v>0.9874478271544316</x:v>
      </x:c>
      <x:c r="W6" s="34" t="n">
        <x:f>V6*100</x:f>
        <x:v>98.74478271544316</x:v>
      </x:c>
      <x:c r="X6" s="34" t="n">
        <x:v>0.987447827154432</x:v>
      </x:c>
      <x:c r="Y6" s="36" t="n">
        <x:f>ABS(V6-X6)</x:f>
        <x:v>4.440892098500626e-16</x:v>
      </x:c>
      <x:c r="Z6" s="42" t="str">
        <x:f>IF(Y6&lt;1E-10,"PASS","FAIL")</x:f>
        <x:v>PASS</x:v>
      </x:c>
    </x:row>
    <x:row r="7">
      <x:c r="A7" s="20" t="str">
        <x:v>M6</x:v>
      </x:c>
      <x:c r="B7" s="21" t="str">
        <x:v>T60904</x:v>
      </x:c>
      <x:c r="C7" s="21" t="str">
        <x:v>ERCC1-XPF-IN-2</x:v>
      </x:c>
      <x:c r="D7" s="21" t="str">
        <x:v>HCT116</x:v>
      </x:c>
      <x:c r="E7" s="21" t="str">
        <x:v>2</x:v>
      </x:c>
      <x:c r="F7" s="21" t="str">
        <x:v>HCT-116 2</x:v>
      </x:c>
      <x:c r="G7" s="21" t="str">
        <x:v>=1-B18/$F$19</x:v>
      </x:c>
      <x:c r="H7" s="21" t="str">
        <x:v>F19</x:v>
      </x:c>
      <x:c r="I7" s="21" t="str">
        <x:v>G10</x:v>
      </x:c>
      <x:c r="J7" s="21" t="n">
        <x:v>1.4253</x:v>
      </x:c>
      <x:c r="K7" s="21" t="n">
        <x:v>1.573</x:v>
      </x:c>
      <x:c r="L7" s="21" t="n">
        <x:v>1.6596</x:v>
      </x:c>
      <x:c r="M7" s="21" t="n">
        <x:v>1.2811</x:v>
      </x:c>
      <x:c r="N7" s="21" t="n">
        <x:v>1.4958</x:v>
      </x:c>
      <x:c r="O7" s="21" t="n">
        <x:v>1.3525</x:v>
      </x:c>
      <x:c r="P7" s="21" t="n">
        <x:v>0.2909</x:v>
      </x:c>
      <x:c r="Q7" s="21" t="n">
        <x:v>0.2863</x:v>
      </x:c>
      <x:c r="R7" s="21" t="n">
        <x:v>0.2938</x:v>
      </x:c>
      <x:c r="S7" s="34" t="n">
        <x:f>AVERAGE(J7:L7)</x:f>
        <x:v>1.5526333333333333</x:v>
      </x:c>
      <x:c r="T7" s="34" t="n">
        <x:f>AVERAGE(M7:O7)</x:f>
        <x:v>1.3764666666666667</x:v>
      </x:c>
      <x:c r="U7" s="34" t="n">
        <x:f>AVERAGE(P7:R7)</x:f>
        <x:v>0.29033333333333333</x:v>
      </x:c>
      <x:c r="V7" s="34" t="n">
        <x:f>1-(S7-U7)/(T7-U7)</x:f>
        <x:v>-0.16219616989933705</x:v>
      </x:c>
      <x:c r="W7" s="34" t="n">
        <x:f>V7*100</x:f>
        <x:v>-16.219616989933705</x:v>
      </x:c>
      <x:c r="X7" s="34" t="n">
        <x:v>-0.162196169899337</x:v>
      </x:c>
      <x:c r="Y7" s="36" t="n">
        <x:f>ABS(V7-X7)</x:f>
        <x:v>5.551115123125783e-17</x:v>
      </x:c>
      <x:c r="Z7" s="42" t="str">
        <x:f>IF(Y7&lt;1E-10,"PASS","FAIL")</x:f>
        <x:v>PASS</x:v>
      </x:c>
    </x:row>
    <x:row r="8">
      <x:c r="A8" s="20" t="str">
        <x:v>M1</x:v>
      </x:c>
      <x:c r="B8" s="21" t="str">
        <x:v>T9335</x:v>
      </x:c>
      <x:c r="C8" s="21" t="str">
        <x:v>1,1'-Methylenedi-2-naphthol</x:v>
      </x:c>
      <x:c r="D8" s="21" t="str">
        <x:v>SW620</x:v>
      </x:c>
      <x:c r="E8" s="21" t="str">
        <x:v>1</x:v>
      </x:c>
      <x:c r="F8" s="21" t="str">
        <x:v>SW620 1</x:v>
      </x:c>
      <x:c r="G8" s="21" t="str">
        <x:v>=1-H19/$J$18</x:v>
      </x:c>
      <x:c r="H8" s="21" t="str">
        <x:v>J18</x:v>
      </x:c>
      <x:c r="I8" s="21" t="str">
        <x:v>J10</x:v>
      </x:c>
      <x:c r="J8" s="21" t="n">
        <x:v>0.9033</x:v>
      </x:c>
      <x:c r="K8" s="21" t="n">
        <x:v>0.8898</x:v>
      </x:c>
      <x:c r="L8" s="21" t="n">
        <x:v>0.8327</x:v>
      </x:c>
      <x:c r="M8" s="21" t="n">
        <x:v>1.229</x:v>
      </x:c>
      <x:c r="N8" s="21" t="n">
        <x:v>1.2153</x:v>
      </x:c>
      <x:c r="O8" s="21" t="n">
        <x:v>1.2545</x:v>
      </x:c>
      <x:c r="P8" s="21" t="n">
        <x:v>0.3841</x:v>
      </x:c>
      <x:c r="Q8" s="21" t="n">
        <x:v>0.3693</x:v>
      </x:c>
      <x:c r="R8" s="21" t="n">
        <x:v>0.372</x:v>
      </x:c>
      <x:c r="S8" s="34" t="n">
        <x:f>AVERAGE(J8:L8)</x:f>
        <x:v>0.8752666666666666</x:v>
      </x:c>
      <x:c r="T8" s="34" t="n">
        <x:f>AVERAGE(M8:O8)</x:f>
        <x:v>1.2329333333333334</x:v>
      </x:c>
      <x:c r="U8" s="34" t="n">
        <x:f>AVERAGE(P8:R8)</x:f>
        <x:v>0.3751333333333333</x:v>
      </x:c>
      <x:c r="V8" s="34" t="n">
        <x:f>1-(S8-U8)/(T8-U8)</x:f>
        <x:v>0.4169581098935262</x:v>
      </x:c>
      <x:c r="W8" s="34" t="n">
        <x:f>V8*100</x:f>
        <x:v>41.69581098935262</x:v>
      </x:c>
      <x:c r="X8" s="34" t="n">
        <x:v>0.416958109893526</x:v>
      </x:c>
      <x:c r="Y8" s="36" t="n">
        <x:f>ABS(V8-X8)</x:f>
        <x:v>2.220446049250313e-16</x:v>
      </x:c>
      <x:c r="Z8" s="42" t="str">
        <x:f>IF(Y8&lt;1E-10,"PASS","FAIL")</x:f>
        <x:v>PASS</x:v>
      </x:c>
    </x:row>
    <x:row r="9">
      <x:c r="A9" s="20" t="str">
        <x:v>M2</x:v>
      </x:c>
      <x:c r="B9" s="21" t="str">
        <x:v>T61189</x:v>
      </x:c>
      <x:c r="C9" s="21" t="str">
        <x:v>E7016</x:v>
      </x:c>
      <x:c r="D9" s="21" t="str">
        <x:v>SW620</x:v>
      </x:c>
      <x:c r="E9" s="21" t="str">
        <x:v>1</x:v>
      </x:c>
      <x:c r="F9" s="21" t="str">
        <x:v>SW620 1</x:v>
      </x:c>
      <x:c r="G9" s="21" t="str">
        <x:v>=1-D19/$J$18</x:v>
      </x:c>
      <x:c r="H9" s="21" t="str">
        <x:v>J18</x:v>
      </x:c>
      <x:c r="I9" s="21" t="str">
        <x:v>J10</x:v>
      </x:c>
      <x:c r="J9" s="21" t="n">
        <x:v>0.9539</x:v>
      </x:c>
      <x:c r="K9" s="21" t="n">
        <x:v>1.1093</x:v>
      </x:c>
      <x:c r="L9" s="21" t="n">
        <x:v>1.0469</x:v>
      </x:c>
      <x:c r="M9" s="21" t="n">
        <x:v>1.229</x:v>
      </x:c>
      <x:c r="N9" s="21" t="n">
        <x:v>1.2153</x:v>
      </x:c>
      <x:c r="O9" s="21" t="n">
        <x:v>1.2545</x:v>
      </x:c>
      <x:c r="P9" s="21" t="n">
        <x:v>0.3841</x:v>
      </x:c>
      <x:c r="Q9" s="21" t="n">
        <x:v>0.3693</x:v>
      </x:c>
      <x:c r="R9" s="21" t="n">
        <x:v>0.372</x:v>
      </x:c>
      <x:c r="S9" s="34" t="n">
        <x:f>AVERAGE(J9:L9)</x:f>
        <x:v>1.0367</x:v>
      </x:c>
      <x:c r="T9" s="34" t="n">
        <x:f>AVERAGE(M9:O9)</x:f>
        <x:v>1.2329333333333334</x:v>
      </x:c>
      <x:c r="U9" s="34" t="n">
        <x:f>AVERAGE(P9:R9)</x:f>
        <x:v>0.3751333333333333</x:v>
      </x:c>
      <x:c r="V9" s="34" t="n">
        <x:f>1-(S9-U9)/(T9-U9)</x:f>
        <x:v>0.22876350353617791</x:v>
      </x:c>
      <x:c r="W9" s="34" t="n">
        <x:f>V9*100</x:f>
        <x:v>22.87635035361779</x:v>
      </x:c>
      <x:c r="X9" s="34" t="n">
        <x:v>0.228763503536178</x:v>
      </x:c>
      <x:c r="Y9" s="36" t="n">
        <x:f>ABS(V9-X9)</x:f>
        <x:v>8.326672684688674e-17</x:v>
      </x:c>
      <x:c r="Z9" s="42" t="str">
        <x:f>IF(Y9&lt;1E-10,"PASS","FAIL")</x:f>
        <x:v>PASS</x:v>
      </x:c>
    </x:row>
    <x:row r="10">
      <x:c r="A10" s="20" t="str">
        <x:v>M3</x:v>
      </x:c>
      <x:c r="B10" s="21" t="str">
        <x:v>T12502</x:v>
      </x:c>
      <x:c r="C10" s="21" t="str">
        <x:v>PLpro inhibitor</x:v>
      </x:c>
      <x:c r="D10" s="21" t="str">
        <x:v>SW620</x:v>
      </x:c>
      <x:c r="E10" s="21" t="str">
        <x:v>2</x:v>
      </x:c>
      <x:c r="F10" s="21" t="str">
        <x:v>SW620 2</x:v>
      </x:c>
      <x:c r="G10" s="21" t="str">
        <x:v>=1-D18/$E$19</x:v>
      </x:c>
      <x:c r="H10" s="21" t="str">
        <x:v>E19</x:v>
      </x:c>
      <x:c r="I10" s="21" t="str">
        <x:v>F10</x:v>
      </x:c>
      <x:c r="J10" s="21" t="n">
        <x:v>1.153</x:v>
      </x:c>
      <x:c r="K10" s="21" t="n">
        <x:v>1.1617</x:v>
      </x:c>
      <x:c r="L10" s="21" t="n">
        <x:v>1.1815</x:v>
      </x:c>
      <x:c r="M10" s="21" t="n">
        <x:v>1.1512</x:v>
      </x:c>
      <x:c r="N10" s="21" t="n">
        <x:v>1.1157</x:v>
      </x:c>
      <x:c r="O10" s="21" t="n">
        <x:v>1.0809</x:v>
      </x:c>
      <x:c r="P10" s="21" t="n">
        <x:v>0.4002</x:v>
      </x:c>
      <x:c r="Q10" s="21" t="n">
        <x:v>0.3835</x:v>
      </x:c>
      <x:c r="R10" s="21" t="n">
        <x:v>0.3797</x:v>
      </x:c>
      <x:c r="S10" s="34" t="n">
        <x:f>AVERAGE(J10:L10)</x:f>
        <x:v>1.1654</x:v>
      </x:c>
      <x:c r="T10" s="34" t="n">
        <x:f>AVERAGE(M10:O10)</x:f>
        <x:v>1.1159333333333332</x:v>
      </x:c>
      <x:c r="U10" s="34" t="n">
        <x:f>AVERAGE(P10:R10)</x:f>
        <x:v>0.3878</x:v>
      </x:c>
      <x:c r="V10" s="34" t="n">
        <x:f>1-(S10-U10)/(T10-U10)</x:f>
        <x:v>-0.06793627540743463</x:v>
      </x:c>
      <x:c r="W10" s="34" t="n">
        <x:f>V10*100</x:f>
        <x:v>-6.793627540743463</x:v>
      </x:c>
      <x:c r="X10" s="34" t="n">
        <x:v>-0.0679362754074346</x:v>
      </x:c>
      <x:c r="Y10" s="36" t="n">
        <x:f>ABS(V10-X10)</x:f>
        <x:v>2.7755575615628914e-17</x:v>
      </x:c>
      <x:c r="Z10" s="42" t="str">
        <x:f>IF(Y10&lt;1E-10,"PASS","FAIL")</x:f>
        <x:v>PASS</x:v>
      </x:c>
    </x:row>
    <x:row r="11">
      <x:c r="A11" s="20" t="str">
        <x:v>M4</x:v>
      </x:c>
      <x:c r="B11" s="21" t="str">
        <x:v>T6853</x:v>
      </x:c>
      <x:c r="C11" s="21" t="str">
        <x:v>GSK591</x:v>
      </x:c>
      <x:c r="D11" s="21" t="str">
        <x:v>SW620</x:v>
      </x:c>
      <x:c r="E11" s="21" t="str">
        <x:v>2</x:v>
      </x:c>
      <x:c r="F11" s="21" t="str">
        <x:v>SW620 2</x:v>
      </x:c>
      <x:c r="G11" s="21" t="str">
        <x:v>=1-E18/$E$19</x:v>
      </x:c>
      <x:c r="H11" s="21" t="str">
        <x:v>E19</x:v>
      </x:c>
      <x:c r="I11" s="21" t="str">
        <x:v>F10</x:v>
      </x:c>
      <x:c r="J11" s="21" t="n">
        <x:v>1.2218</x:v>
      </x:c>
      <x:c r="K11" s="21" t="n">
        <x:v>1.1863</x:v>
      </x:c>
      <x:c r="L11" s="21" t="n">
        <x:v>1.1908</x:v>
      </x:c>
      <x:c r="M11" s="21" t="n">
        <x:v>1.1512</x:v>
      </x:c>
      <x:c r="N11" s="21" t="n">
        <x:v>1.1157</x:v>
      </x:c>
      <x:c r="O11" s="21" t="n">
        <x:v>1.0809</x:v>
      </x:c>
      <x:c r="P11" s="21" t="n">
        <x:v>0.4002</x:v>
      </x:c>
      <x:c r="Q11" s="21" t="n">
        <x:v>0.3835</x:v>
      </x:c>
      <x:c r="R11" s="21" t="n">
        <x:v>0.3797</x:v>
      </x:c>
      <x:c r="S11" s="34" t="n">
        <x:f>AVERAGE(J11:L11)</x:f>
        <x:v>1.1996333333333336</x:v>
      </x:c>
      <x:c r="T11" s="34" t="n">
        <x:f>AVERAGE(M11:O11)</x:f>
        <x:v>1.1159333333333332</x:v>
      </x:c>
      <x:c r="U11" s="34" t="n">
        <x:f>AVERAGE(P11:R11)</x:f>
        <x:v>0.3878</x:v>
      </x:c>
      <x:c r="V11" s="34" t="n">
        <x:f>1-(S11-U11)/(T11-U11)</x:f>
        <x:v>-0.1149514740889952</x:v>
      </x:c>
      <x:c r="W11" s="34" t="n">
        <x:f>V11*100</x:f>
        <x:v>-11.49514740889952</x:v>
      </x:c>
      <x:c r="X11" s="34" t="n">
        <x:v>-0.114951474088995</x:v>
      </x:c>
      <x:c r="Y11" s="36" t="n">
        <x:f>ABS(V11-X11)</x:f>
        <x:v>1.942890293094024e-16</x:v>
      </x:c>
      <x:c r="Z11" s="42" t="str">
        <x:f>IF(Y11&lt;1E-10,"PASS","FAIL")</x:f>
        <x:v>PASS</x:v>
      </x:c>
    </x:row>
    <x:row r="12">
      <x:c r="A12" s="20" t="str">
        <x:v>M5</x:v>
      </x:c>
      <x:c r="B12" s="21" t="str">
        <x:v>T6980</x:v>
      </x:c>
      <x:c r="C12" s="21" t="str">
        <x:v>Scriptaid</x:v>
      </x:c>
      <x:c r="D12" s="21" t="str">
        <x:v>SW620</x:v>
      </x:c>
      <x:c r="E12" s="21" t="str">
        <x:v>2</x:v>
      </x:c>
      <x:c r="F12" s="21" t="str">
        <x:v>SW620 2</x:v>
      </x:c>
      <x:c r="G12" s="21" t="str">
        <x:v>=1-J18/$E$19</x:v>
      </x:c>
      <x:c r="H12" s="21" t="str">
        <x:v>E19</x:v>
      </x:c>
      <x:c r="I12" s="21" t="str">
        <x:v>F10</x:v>
      </x:c>
      <x:c r="J12" s="21" t="n">
        <x:v>0.6289</x:v>
      </x:c>
      <x:c r="K12" s="21" t="n">
        <x:v>0.6758</x:v>
      </x:c>
      <x:c r="L12" s="21" t="n">
        <x:v>0.6543</x:v>
      </x:c>
      <x:c r="M12" s="21" t="n">
        <x:v>1.1512</x:v>
      </x:c>
      <x:c r="N12" s="21" t="n">
        <x:v>1.1157</x:v>
      </x:c>
      <x:c r="O12" s="21" t="n">
        <x:v>1.0809</x:v>
      </x:c>
      <x:c r="P12" s="21" t="n">
        <x:v>0.4002</x:v>
      </x:c>
      <x:c r="Q12" s="21" t="n">
        <x:v>0.3835</x:v>
      </x:c>
      <x:c r="R12" s="21" t="n">
        <x:v>0.3797</x:v>
      </x:c>
      <x:c r="S12" s="34" t="n">
        <x:f>AVERAGE(J12:L12)</x:f>
        <x:v>0.653</x:v>
      </x:c>
      <x:c r="T12" s="34" t="n">
        <x:f>AVERAGE(M12:O12)</x:f>
        <x:v>1.1159333333333332</x:v>
      </x:c>
      <x:c r="U12" s="34" t="n">
        <x:f>AVERAGE(P12:R12)</x:f>
        <x:v>0.3878</x:v>
      </x:c>
      <x:c r="V12" s="34" t="n">
        <x:f>1-(S12-U12)/(T12-U12)</x:f>
        <x:v>0.6357809924922175</x:v>
      </x:c>
      <x:c r="W12" s="34" t="n">
        <x:f>V12*100</x:f>
        <x:v>63.57809924922175</x:v>
      </x:c>
      <x:c r="X12" s="34" t="n">
        <x:v>0.635780992492218</x:v>
      </x:c>
      <x:c r="Y12" s="36" t="n">
        <x:f>ABS(V12-X12)</x:f>
        <x:v>4.440892098500626e-16</x:v>
      </x:c>
      <x:c r="Z12" s="42" t="str">
        <x:f>IF(Y12&lt;1E-10,"PASS","FAIL")</x:f>
        <x:v>PASS</x:v>
      </x:c>
    </x:row>
    <x:row r="13">
      <x:c r="A13" s="20" t="str">
        <x:v>M6</x:v>
      </x:c>
      <x:c r="B13" s="21" t="str">
        <x:v>T60904</x:v>
      </x:c>
      <x:c r="C13" s="21" t="str">
        <x:v>ERCC1-XPF-IN-2</x:v>
      </x:c>
      <x:c r="D13" s="21" t="str">
        <x:v>SW620</x:v>
      </x:c>
      <x:c r="E13" s="21" t="str">
        <x:v>2</x:v>
      </x:c>
      <x:c r="F13" s="21" t="str">
        <x:v>SW620 2</x:v>
      </x:c>
      <x:c r="G13" s="21" t="str">
        <x:v>=1-B18/$E$19</x:v>
      </x:c>
      <x:c r="H13" s="21" t="str">
        <x:v>E19</x:v>
      </x:c>
      <x:c r="I13" s="21" t="str">
        <x:v>F10</x:v>
      </x:c>
      <x:c r="J13" s="21" t="n">
        <x:v>0.9549</x:v>
      </x:c>
      <x:c r="K13" s="21" t="n">
        <x:v>0.9816</x:v>
      </x:c>
      <x:c r="L13" s="21" t="n">
        <x:v>0.9339</x:v>
      </x:c>
      <x:c r="M13" s="21" t="n">
        <x:v>1.1512</x:v>
      </x:c>
      <x:c r="N13" s="21" t="n">
        <x:v>1.1157</x:v>
      </x:c>
      <x:c r="O13" s="21" t="n">
        <x:v>1.0809</x:v>
      </x:c>
      <x:c r="P13" s="21" t="n">
        <x:v>0.4002</x:v>
      </x:c>
      <x:c r="Q13" s="21" t="n">
        <x:v>0.3835</x:v>
      </x:c>
      <x:c r="R13" s="21" t="n">
        <x:v>0.3797</x:v>
      </x:c>
      <x:c r="S13" s="34" t="n">
        <x:f>AVERAGE(J13:L13)</x:f>
        <x:v>0.9568</x:v>
      </x:c>
      <x:c r="T13" s="34" t="n">
        <x:f>AVERAGE(M13:O13)</x:f>
        <x:v>1.1159333333333332</x:v>
      </x:c>
      <x:c r="U13" s="34" t="n">
        <x:f>AVERAGE(P13:R13)</x:f>
        <x:v>0.3878</x:v>
      </x:c>
      <x:c r="V13" s="34" t="n">
        <x:f>1-(S13-U13)/(T13-U13)</x:f>
        <x:v>0.21854971616919983</x:v>
      </x:c>
      <x:c r="W13" s="34" t="n">
        <x:f>V13*100</x:f>
        <x:v>21.854971616919983</x:v>
      </x:c>
      <x:c r="X13" s="34" t="n">
        <x:v>0.2185497161692</x:v>
      </x:c>
      <x:c r="Y13" s="36" t="n">
        <x:f>ABS(V13-X13)</x:f>
        <x:v>1.6653345369377348e-16</x:v>
      </x:c>
      <x:c r="Z13" s="42" t="str">
        <x:f>IF(Y13&lt;1E-10,"PASS","FAIL")</x:f>
        <x:v>PASS</x:v>
      </x:c>
    </x:row>
    <x:row r="14">
      <x:c r="A14" s="20" t="str">
        <x:v>M1</x:v>
      </x:c>
      <x:c r="B14" s="21" t="str">
        <x:v>T9335</x:v>
      </x:c>
      <x:c r="C14" s="21" t="str">
        <x:v>1,1'-Methylenedi-2-naphthol</x:v>
      </x:c>
      <x:c r="D14" s="21" t="str">
        <x:v>DLD-1</x:v>
      </x:c>
      <x:c r="E14" s="21" t="str">
        <x:v>1</x:v>
      </x:c>
      <x:c r="F14" s="21" t="str">
        <x:v>DLD-1 1</x:v>
      </x:c>
      <x:c r="G14" s="21" t="str">
        <x:v>=1-H19/$I$19</x:v>
      </x:c>
      <x:c r="H14" s="21" t="str">
        <x:v>I19</x:v>
      </x:c>
      <x:c r="I14" s="21" t="str">
        <x:v>J10</x:v>
      </x:c>
      <x:c r="J14" s="21" t="n">
        <x:v>1.3695</x:v>
      </x:c>
      <x:c r="K14" s="21" t="n">
        <x:v>1.3481</x:v>
      </x:c>
      <x:c r="L14" s="21" t="n">
        <x:v>1.3447</x:v>
      </x:c>
      <x:c r="M14" s="21" t="n">
        <x:v>1.381</x:v>
      </x:c>
      <x:c r="N14" s="21" t="n">
        <x:v>1.2811</x:v>
      </x:c>
      <x:c r="O14" s="21" t="n">
        <x:v>1.222</x:v>
      </x:c>
      <x:c r="P14" s="21" t="n">
        <x:v>0.1832</x:v>
      </x:c>
      <x:c r="Q14" s="21" t="n">
        <x:v>0.1794</x:v>
      </x:c>
      <x:c r="R14" s="21" t="n">
        <x:v>0.1802</x:v>
      </x:c>
      <x:c r="S14" s="34" t="n">
        <x:f>AVERAGE(J14:L14)</x:f>
        <x:v>1.3541</x:v>
      </x:c>
      <x:c r="T14" s="34" t="n">
        <x:f>AVERAGE(M14:O14)</x:f>
        <x:v>1.2947</x:v>
      </x:c>
      <x:c r="U14" s="34" t="n">
        <x:f>AVERAGE(P14:R14)</x:f>
        <x:v>0.18093333333333336</x:v>
      </x:c>
      <x:c r="V14" s="34" t="n">
        <x:f>1-(S14-U14)/(T14-U14)</x:f>
        <x:v>-0.05333253524077475</x:v>
      </x:c>
      <x:c r="W14" s="34" t="n">
        <x:f>V14*100</x:f>
        <x:v>-5.333253524077475</x:v>
      </x:c>
      <x:c r="X14" s="34" t="n">
        <x:v>-0.0533325352407747</x:v>
      </x:c>
      <x:c r="Y14" s="36" t="n">
        <x:f>ABS(V14-X14)</x:f>
        <x:v>4.85722573273506e-17</x:v>
      </x:c>
      <x:c r="Z14" s="42" t="str">
        <x:f>IF(Y14&lt;1E-10,"PASS","FAIL")</x:f>
        <x:v>PASS</x:v>
      </x:c>
    </x:row>
    <x:row r="15">
      <x:c r="A15" s="20" t="str">
        <x:v>M2</x:v>
      </x:c>
      <x:c r="B15" s="21" t="str">
        <x:v>T61189</x:v>
      </x:c>
      <x:c r="C15" s="21" t="str">
        <x:v>E7016</x:v>
      </x:c>
      <x:c r="D15" s="21" t="str">
        <x:v>DLD-1</x:v>
      </x:c>
      <x:c r="E15" s="21" t="str">
        <x:v>1</x:v>
      </x:c>
      <x:c r="F15" s="21" t="str">
        <x:v>DLD-1 1</x:v>
      </x:c>
      <x:c r="G15" s="21" t="str">
        <x:v>=1-D19/$I$19</x:v>
      </x:c>
      <x:c r="H15" s="21" t="str">
        <x:v>I19</x:v>
      </x:c>
      <x:c r="I15" s="21" t="str">
        <x:v>J10</x:v>
      </x:c>
      <x:c r="J15" s="21" t="n">
        <x:v>0.6095</x:v>
      </x:c>
      <x:c r="K15" s="21" t="n">
        <x:v>0.6476</x:v>
      </x:c>
      <x:c r="L15" s="21" t="n">
        <x:v>0.6149</x:v>
      </x:c>
      <x:c r="M15" s="21" t="n">
        <x:v>1.381</x:v>
      </x:c>
      <x:c r="N15" s="21" t="n">
        <x:v>1.2811</x:v>
      </x:c>
      <x:c r="O15" s="21" t="n">
        <x:v>1.222</x:v>
      </x:c>
      <x:c r="P15" s="21" t="n">
        <x:v>0.1832</x:v>
      </x:c>
      <x:c r="Q15" s="21" t="n">
        <x:v>0.1794</x:v>
      </x:c>
      <x:c r="R15" s="21" t="n">
        <x:v>0.1802</x:v>
      </x:c>
      <x:c r="S15" s="34" t="n">
        <x:f>AVERAGE(J15:L15)</x:f>
        <x:v>0.624</x:v>
      </x:c>
      <x:c r="T15" s="34" t="n">
        <x:f>AVERAGE(M15:O15)</x:f>
        <x:v>1.2947</x:v>
      </x:c>
      <x:c r="U15" s="34" t="n">
        <x:f>AVERAGE(P15:R15)</x:f>
        <x:v>0.18093333333333336</x:v>
      </x:c>
      <x:c r="V15" s="34" t="n">
        <x:f>1-(S15-U15)/(T15-U15)</x:f>
        <x:v>0.6021907640738635</x:v>
      </x:c>
      <x:c r="W15" s="34" t="n">
        <x:f>V15*100</x:f>
        <x:v>60.21907640738635</x:v>
      </x:c>
      <x:c r="X15" s="34" t="n">
        <x:v>0.602190764073864</x:v>
      </x:c>
      <x:c r="Y15" s="36" t="n">
        <x:f>ABS(V15-X15)</x:f>
        <x:v>4.440892098500626e-16</x:v>
      </x:c>
      <x:c r="Z15" s="42" t="str">
        <x:f>IF(Y15&lt;1E-10,"PASS","FAIL")</x:f>
        <x:v>PASS</x:v>
      </x:c>
    </x:row>
    <x:row r="16">
      <x:c r="A16" s="20" t="str">
        <x:v>M3</x:v>
      </x:c>
      <x:c r="B16" s="21" t="str">
        <x:v>T12502</x:v>
      </x:c>
      <x:c r="C16" s="21" t="str">
        <x:v>PLpro inhibitor</x:v>
      </x:c>
      <x:c r="D16" s="21" t="str">
        <x:v>DLD-1</x:v>
      </x:c>
      <x:c r="E16" s="21" t="str">
        <x:v>2</x:v>
      </x:c>
      <x:c r="F16" s="21" t="str">
        <x:v>DLD-1 2</x:v>
      </x:c>
      <x:c r="G16" s="21" t="str">
        <x:v>=1-D18/$E$19</x:v>
      </x:c>
      <x:c r="H16" s="21" t="str">
        <x:v>E19</x:v>
      </x:c>
      <x:c r="I16" s="21" t="str">
        <x:v>F10</x:v>
      </x:c>
      <x:c r="J16" s="21" t="n">
        <x:v>0.9703</x:v>
      </x:c>
      <x:c r="K16" s="21" t="n">
        <x:v>1.325</x:v>
      </x:c>
      <x:c r="L16" s="21" t="n">
        <x:v>1.2676</x:v>
      </x:c>
      <x:c r="M16" s="21" t="n">
        <x:v>1.2616</x:v>
      </x:c>
      <x:c r="N16" s="21" t="n">
        <x:v>1.2981</x:v>
      </x:c>
      <x:c r="O16" s="21" t="n">
        <x:v>1.2321</x:v>
      </x:c>
      <x:c r="P16" s="21" t="n">
        <x:v>0.1864</x:v>
      </x:c>
      <x:c r="Q16" s="21" t="n">
        <x:v>0.1788</x:v>
      </x:c>
      <x:c r="R16" s="21" t="n">
        <x:v>0.1814</x:v>
      </x:c>
      <x:c r="S16" s="34" t="n">
        <x:f>AVERAGE(J16:L16)</x:f>
        <x:v>1.1876333333333333</x:v>
      </x:c>
      <x:c r="T16" s="34" t="n">
        <x:f>AVERAGE(M16:O16)</x:f>
        <x:v>1.2639333333333334</x:v>
      </x:c>
      <x:c r="U16" s="34" t="n">
        <x:f>AVERAGE(P16:R16)</x:f>
        <x:v>0.1822</x:v>
      </x:c>
      <x:c r="V16" s="34" t="n">
        <x:f>1-(S16-U16)/(T16-U16)</x:f>
        <x:v>0.07053494391716997</x:v>
      </x:c>
      <x:c r="W16" s="34" t="n">
        <x:f>V16*100</x:f>
        <x:v>7.053494391716997</x:v>
      </x:c>
      <x:c r="X16" s="34" t="n">
        <x:v>0.07053494391717</x:v>
      </x:c>
      <x:c r="Y16" s="36" t="n">
        <x:f>ABS(V16-X16)</x:f>
        <x:v>2.7755575615628914e-17</x:v>
      </x:c>
      <x:c r="Z16" s="42" t="str">
        <x:f>IF(Y16&lt;1E-10,"PASS","FAIL")</x:f>
        <x:v>PASS</x:v>
      </x:c>
    </x:row>
    <x:row r="17">
      <x:c r="A17" s="20" t="str">
        <x:v>M4</x:v>
      </x:c>
      <x:c r="B17" s="21" t="str">
        <x:v>T6853</x:v>
      </x:c>
      <x:c r="C17" s="21" t="str">
        <x:v>GSK591</x:v>
      </x:c>
      <x:c r="D17" s="21" t="str">
        <x:v>DLD-1</x:v>
      </x:c>
      <x:c r="E17" s="21" t="str">
        <x:v>2</x:v>
      </x:c>
      <x:c r="F17" s="21" t="str">
        <x:v>DLD-1 2</x:v>
      </x:c>
      <x:c r="G17" s="21" t="str">
        <x:v>=1-E18/$E$19</x:v>
      </x:c>
      <x:c r="H17" s="21" t="str">
        <x:v>E19</x:v>
      </x:c>
      <x:c r="I17" s="21" t="str">
        <x:v>F10</x:v>
      </x:c>
      <x:c r="J17" s="21" t="n">
        <x:v>1.0842</x:v>
      </x:c>
      <x:c r="K17" s="21" t="n">
        <x:v>1.3088</x:v>
      </x:c>
      <x:c r="L17" s="21" t="n">
        <x:v>1.3029</x:v>
      </x:c>
      <x:c r="M17" s="21" t="n">
        <x:v>1.2616</x:v>
      </x:c>
      <x:c r="N17" s="21" t="n">
        <x:v>1.2981</x:v>
      </x:c>
      <x:c r="O17" s="21" t="n">
        <x:v>1.2321</x:v>
      </x:c>
      <x:c r="P17" s="21" t="n">
        <x:v>0.1864</x:v>
      </x:c>
      <x:c r="Q17" s="21" t="n">
        <x:v>0.1788</x:v>
      </x:c>
      <x:c r="R17" s="21" t="n">
        <x:v>0.1814</x:v>
      </x:c>
      <x:c r="S17" s="34" t="n">
        <x:f>AVERAGE(J17:L17)</x:f>
        <x:v>1.2319666666666667</x:v>
      </x:c>
      <x:c r="T17" s="34" t="n">
        <x:f>AVERAGE(M17:O17)</x:f>
        <x:v>1.2639333333333334</x:v>
      </x:c>
      <x:c r="U17" s="34" t="n">
        <x:f>AVERAGE(P17:R17)</x:f>
        <x:v>0.1822</x:v>
      </x:c>
      <x:c r="V17" s="34" t="n">
        <x:f>1-(S17-U17)/(T17-U17)</x:f>
        <x:v>0.029551337359792984</x:v>
      </x:c>
      <x:c r="W17" s="34" t="n">
        <x:f>V17*100</x:f>
        <x:v>2.9551337359792984</x:v>
      </x:c>
      <x:c r="X17" s="34" t="n">
        <x:v>0.029551337359793</x:v>
      </x:c>
      <x:c r="Y17" s="36" t="n">
        <x:f>ABS(V17-X17)</x:f>
        <x:v>1.734723475976807e-17</x:v>
      </x:c>
      <x:c r="Z17" s="42" t="str">
        <x:f>IF(Y17&lt;1E-10,"PASS","FAIL")</x:f>
        <x:v>PASS</x:v>
      </x:c>
    </x:row>
    <x:row r="18">
      <x:c r="A18" s="20" t="str">
        <x:v>M5</x:v>
      </x:c>
      <x:c r="B18" s="21" t="str">
        <x:v>T6980</x:v>
      </x:c>
      <x:c r="C18" s="21" t="str">
        <x:v>Scriptaid</x:v>
      </x:c>
      <x:c r="D18" s="21" t="str">
        <x:v>DLD-1</x:v>
      </x:c>
      <x:c r="E18" s="21" t="str">
        <x:v>2</x:v>
      </x:c>
      <x:c r="F18" s="21" t="str">
        <x:v>DLD-1 2</x:v>
      </x:c>
      <x:c r="G18" s="21" t="str">
        <x:v>=1-J18/$E$19</x:v>
      </x:c>
      <x:c r="H18" s="21" t="str">
        <x:v>E19</x:v>
      </x:c>
      <x:c r="I18" s="21" t="str">
        <x:v>F10</x:v>
      </x:c>
      <x:c r="J18" s="21" t="n">
        <x:v>0.2608</x:v>
      </x:c>
      <x:c r="K18" s="21" t="n">
        <x:v>0.2761</x:v>
      </x:c>
      <x:c r="L18" s="21" t="n">
        <x:v>0.2608</x:v>
      </x:c>
      <x:c r="M18" s="21" t="n">
        <x:v>1.2616</x:v>
      </x:c>
      <x:c r="N18" s="21" t="n">
        <x:v>1.2981</x:v>
      </x:c>
      <x:c r="O18" s="21" t="n">
        <x:v>1.2321</x:v>
      </x:c>
      <x:c r="P18" s="21" t="n">
        <x:v>0.1864</x:v>
      </x:c>
      <x:c r="Q18" s="21" t="n">
        <x:v>0.1788</x:v>
      </x:c>
      <x:c r="R18" s="21" t="n">
        <x:v>0.1814</x:v>
      </x:c>
      <x:c r="S18" s="34" t="n">
        <x:f>AVERAGE(J18:L18)</x:f>
        <x:v>0.26589999999999997</x:v>
      </x:c>
      <x:c r="T18" s="34" t="n">
        <x:f>AVERAGE(M18:O18)</x:f>
        <x:v>1.2639333333333334</x:v>
      </x:c>
      <x:c r="U18" s="34" t="n">
        <x:f>AVERAGE(P18:R18)</x:f>
        <x:v>0.1822</x:v>
      </x:c>
      <x:c r="V18" s="34" t="n">
        <x:f>1-(S18-U18)/(T18-U18)</x:f>
        <x:v>0.922624183409343</x:v>
      </x:c>
      <x:c r="W18" s="34" t="n">
        <x:f>V18*100</x:f>
        <x:v>92.2624183409343</x:v>
      </x:c>
      <x:c r="X18" s="34" t="n">
        <x:v>0.922624183409343</x:v>
      </x:c>
      <x:c r="Y18" s="36" t="n">
        <x:f>ABS(V18-X18)</x:f>
        <x:v>0</x:v>
      </x:c>
      <x:c r="Z18" s="42" t="str">
        <x:f>IF(Y18&lt;1E-10,"PASS","FAIL")</x:f>
        <x:v>PASS</x:v>
      </x:c>
    </x:row>
    <x:row r="19">
      <x:c r="A19" s="20" t="str">
        <x:v>M6</x:v>
      </x:c>
      <x:c r="B19" s="21" t="str">
        <x:v>T60904</x:v>
      </x:c>
      <x:c r="C19" s="21" t="str">
        <x:v>ERCC1-XPF-IN-2</x:v>
      </x:c>
      <x:c r="D19" s="21" t="str">
        <x:v>DLD-1</x:v>
      </x:c>
      <x:c r="E19" s="21" t="str">
        <x:v>2</x:v>
      </x:c>
      <x:c r="F19" s="21" t="str">
        <x:v>DLD-1 2</x:v>
      </x:c>
      <x:c r="G19" s="21" t="str">
        <x:v>=1-B18/$E$19</x:v>
      </x:c>
      <x:c r="H19" s="21" t="str">
        <x:v>E19</x:v>
      </x:c>
      <x:c r="I19" s="21" t="str">
        <x:v>F10</x:v>
      </x:c>
      <x:c r="J19" s="21" t="n">
        <x:v>0.9582</x:v>
      </x:c>
      <x:c r="K19" s="21" t="n">
        <x:v>1.1542</x:v>
      </x:c>
      <x:c r="L19" s="21" t="n">
        <x:v>1.1488</x:v>
      </x:c>
      <x:c r="M19" s="21" t="n">
        <x:v>1.2616</x:v>
      </x:c>
      <x:c r="N19" s="21" t="n">
        <x:v>1.2981</x:v>
      </x:c>
      <x:c r="O19" s="21" t="n">
        <x:v>1.2321</x:v>
      </x:c>
      <x:c r="P19" s="21" t="n">
        <x:v>0.1864</x:v>
      </x:c>
      <x:c r="Q19" s="21" t="n">
        <x:v>0.1788</x:v>
      </x:c>
      <x:c r="R19" s="21" t="n">
        <x:v>0.1814</x:v>
      </x:c>
      <x:c r="S19" s="34" t="n">
        <x:f>AVERAGE(J19:L19)</x:f>
        <x:v>1.0870666666666666</x:v>
      </x:c>
      <x:c r="T19" s="34" t="n">
        <x:f>AVERAGE(M19:O19)</x:f>
        <x:v>1.2639333333333334</x:v>
      </x:c>
      <x:c r="U19" s="34" t="n">
        <x:f>AVERAGE(P19:R19)</x:f>
        <x:v>0.1822</x:v>
      </x:c>
      <x:c r="V19" s="34" t="n">
        <x:f>1-(S19-U19)/(T19-U19)</x:f>
        <x:v>0.16350301984469384</x:v>
      </x:c>
      <x:c r="W19" s="34" t="n">
        <x:f>V19*100</x:f>
        <x:v>16.350301984469382</x:v>
      </x:c>
      <x:c r="X19" s="34" t="n">
        <x:v>0.163503019844694</x:v>
      </x:c>
      <x:c r="Y19" s="36" t="n">
        <x:f>ABS(V19-X19)</x:f>
        <x:v>1.6653345369377348e-16</x:v>
      </x:c>
      <x:c r="Z19" s="42" t="str">
        <x:f>IF(Y19&lt;1E-10,"PASS","FAIL")</x:f>
        <x:v>PASS</x:v>
      </x:c>
    </x:row>
    <x:row r="20">
      <x:c r="A20" s="20" t="str">
        <x:v>M1</x:v>
      </x:c>
      <x:c r="B20" s="21" t="str">
        <x:v>T9335</x:v>
      </x:c>
      <x:c r="C20" s="21" t="str">
        <x:v>1,1'-Methylenedi-2-naphthol</x:v>
      </x:c>
      <x:c r="D20" s="21" t="str">
        <x:v>HT-29</x:v>
      </x:c>
      <x:c r="E20" s="21" t="str">
        <x:v>1</x:v>
      </x:c>
      <x:c r="F20" s="21" t="str">
        <x:v>HT-29 1</x:v>
      </x:c>
      <x:c r="G20" s="21" t="str">
        <x:v>=1-H19/$I$19</x:v>
      </x:c>
      <x:c r="H20" s="21" t="str">
        <x:v>I19</x:v>
      </x:c>
      <x:c r="I20" s="21" t="str">
        <x:v>J10</x:v>
      </x:c>
      <x:c r="J20" s="21" t="n">
        <x:v>1.6869</x:v>
      </x:c>
      <x:c r="K20" s="21" t="n">
        <x:v>1.5923</x:v>
      </x:c>
      <x:c r="L20" s="21" t="n">
        <x:v>1.5255</x:v>
      </x:c>
      <x:c r="M20" s="21" t="n">
        <x:v>2.0381</x:v>
      </x:c>
      <x:c r="N20" s="21" t="n">
        <x:v>1.867</x:v>
      </x:c>
      <x:c r="O20" s="21" t="n">
        <x:v>1.7652</x:v>
      </x:c>
      <x:c r="P20" s="21" t="n">
        <x:v>0.1886</x:v>
      </x:c>
      <x:c r="Q20" s="21" t="n">
        <x:v>0.1846</x:v>
      </x:c>
      <x:c r="R20" s="21" t="n">
        <x:v>0.1829</x:v>
      </x:c>
      <x:c r="S20" s="34" t="n">
        <x:f>AVERAGE(J20:L20)</x:f>
        <x:v>1.6015666666666668</x:v>
      </x:c>
      <x:c r="T20" s="34" t="n">
        <x:f>AVERAGE(M20:O20)</x:f>
        <x:v>1.8901000000000001</x:v>
      </x:c>
      <x:c r="U20" s="34" t="n">
        <x:f>AVERAGE(P20:R20)</x:f>
        <x:v>0.18536666666666668</x:v>
      </x:c>
      <x:c r="V20" s="34" t="n">
        <x:f>1-(S20-U20)/(T20-U20)</x:f>
        <x:v>0.16925423331117284</x:v>
      </x:c>
      <x:c r="W20" s="34" t="n">
        <x:f>V20*100</x:f>
        <x:v>16.925423331117283</x:v>
      </x:c>
      <x:c r="X20" s="34" t="n">
        <x:v>0.169254233311173</x:v>
      </x:c>
      <x:c r="Y20" s="36" t="n">
        <x:f>ABS(V20-X20)</x:f>
        <x:v>1.6653345369377348e-16</x:v>
      </x:c>
      <x:c r="Z20" s="42" t="str">
        <x:f>IF(Y20&lt;1E-10,"PASS","FAIL")</x:f>
        <x:v>PASS</x:v>
      </x:c>
    </x:row>
    <x:row r="21">
      <x:c r="A21" s="20" t="str">
        <x:v>M2</x:v>
      </x:c>
      <x:c r="B21" s="21" t="str">
        <x:v>T61189</x:v>
      </x:c>
      <x:c r="C21" s="21" t="str">
        <x:v>E7016</x:v>
      </x:c>
      <x:c r="D21" s="21" t="str">
        <x:v>HT-29</x:v>
      </x:c>
      <x:c r="E21" s="21" t="str">
        <x:v>1</x:v>
      </x:c>
      <x:c r="F21" s="21" t="str">
        <x:v>HT-29 1</x:v>
      </x:c>
      <x:c r="G21" s="21" t="str">
        <x:v>=1-D19/$I$19</x:v>
      </x:c>
      <x:c r="H21" s="21" t="str">
        <x:v>I19</x:v>
      </x:c>
      <x:c r="I21" s="21" t="str">
        <x:v>J10</x:v>
      </x:c>
      <x:c r="J21" s="21" t="n">
        <x:v>1.3559</x:v>
      </x:c>
      <x:c r="K21" s="21" t="n">
        <x:v>1.319</x:v>
      </x:c>
      <x:c r="L21" s="21" t="n">
        <x:v>1.1808</x:v>
      </x:c>
      <x:c r="M21" s="21" t="n">
        <x:v>2.0381</x:v>
      </x:c>
      <x:c r="N21" s="21" t="n">
        <x:v>1.867</x:v>
      </x:c>
      <x:c r="O21" s="21" t="n">
        <x:v>1.7652</x:v>
      </x:c>
      <x:c r="P21" s="21" t="n">
        <x:v>0.1886</x:v>
      </x:c>
      <x:c r="Q21" s="21" t="n">
        <x:v>0.1846</x:v>
      </x:c>
      <x:c r="R21" s="21" t="n">
        <x:v>0.1829</x:v>
      </x:c>
      <x:c r="S21" s="34" t="n">
        <x:f>AVERAGE(J21:L21)</x:f>
        <x:v>1.2852333333333334</x:v>
      </x:c>
      <x:c r="T21" s="34" t="n">
        <x:f>AVERAGE(M21:O21)</x:f>
        <x:v>1.8901000000000001</x:v>
      </x:c>
      <x:c r="U21" s="34" t="n">
        <x:f>AVERAGE(P21:R21)</x:f>
        <x:v>0.18536666666666668</x:v>
      </x:c>
      <x:c r="V21" s="34" t="n">
        <x:f>1-(S21-U21)/(T21-U21)</x:f>
        <x:v>0.3548160025028352</x:v>
      </x:c>
      <x:c r="W21" s="34" t="n">
        <x:f>V21*100</x:f>
        <x:v>35.48160025028352</x:v>
      </x:c>
      <x:c r="X21" s="34" t="n">
        <x:v>0.354816002502835</x:v>
      </x:c>
      <x:c r="Y21" s="36" t="n">
        <x:f>ABS(V21-X21)</x:f>
        <x:v>1.6653345369377348e-16</x:v>
      </x:c>
      <x:c r="Z21" s="42" t="str">
        <x:f>IF(Y21&lt;1E-10,"PASS","FAIL")</x:f>
        <x:v>PASS</x:v>
      </x:c>
    </x:row>
    <x:row r="22">
      <x:c r="A22" s="20" t="str">
        <x:v>M3</x:v>
      </x:c>
      <x:c r="B22" s="21" t="str">
        <x:v>T12502</x:v>
      </x:c>
      <x:c r="C22" s="21" t="str">
        <x:v>PLpro inhibitor</x:v>
      </x:c>
      <x:c r="D22" s="21" t="str">
        <x:v>HT-29</x:v>
      </x:c>
      <x:c r="E22" s="21" t="str">
        <x:v>2</x:v>
      </x:c>
      <x:c r="F22" s="21" t="str">
        <x:v>HT-29 2</x:v>
      </x:c>
      <x:c r="G22" s="21" t="str">
        <x:v>=1-D18/$E$19</x:v>
      </x:c>
      <x:c r="H22" s="21" t="str">
        <x:v>E19</x:v>
      </x:c>
      <x:c r="I22" s="21" t="str">
        <x:v>F10</x:v>
      </x:c>
      <x:c r="J22" s="21" t="n">
        <x:v>1.7374</x:v>
      </x:c>
      <x:c r="K22" s="21" t="n">
        <x:v>1.8137</x:v>
      </x:c>
      <x:c r="L22" s="21" t="n">
        <x:v>1.8327</x:v>
      </x:c>
      <x:c r="M22" s="21" t="n">
        <x:v>2.0179</x:v>
      </x:c>
      <x:c r="N22" s="21" t="n">
        <x:v>1.8466</x:v>
      </x:c>
      <x:c r="O22" s="21" t="n">
        <x:v>1.8658</x:v>
      </x:c>
      <x:c r="P22" s="21" t="n">
        <x:v>0.1952</x:v>
      </x:c>
      <x:c r="Q22" s="21" t="n">
        <x:v>0.1847</x:v>
      </x:c>
      <x:c r="R22" s="21" t="n">
        <x:v>0.1932</x:v>
      </x:c>
      <x:c r="S22" s="34" t="n">
        <x:f>AVERAGE(J22:L22)</x:f>
        <x:v>1.7946</x:v>
      </x:c>
      <x:c r="T22" s="34" t="n">
        <x:f>AVERAGE(M22:O22)</x:f>
        <x:v>1.9101</x:v>
      </x:c>
      <x:c r="U22" s="34" t="n">
        <x:f>AVERAGE(P22:R22)</x:f>
        <x:v>0.19103333333333336</x:v>
      </x:c>
      <x:c r="V22" s="34" t="n">
        <x:f>1-(S22-U22)/(T22-U22)</x:f>
        <x:v>0.06718762118979293</x:v>
      </x:c>
      <x:c r="W22" s="34" t="n">
        <x:f>V22*100</x:f>
        <x:v>6.718762118979294</x:v>
      </x:c>
      <x:c r="X22" s="34" t="n">
        <x:v>0.0671876211897929</x:v>
      </x:c>
      <x:c r="Y22" s="36" t="n">
        <x:f>ABS(V22-X22)</x:f>
        <x:v>2.7755575615628914e-17</x:v>
      </x:c>
      <x:c r="Z22" s="42" t="str">
        <x:f>IF(Y22&lt;1E-10,"PASS","FAIL")</x:f>
        <x:v>PASS</x:v>
      </x:c>
    </x:row>
    <x:row r="23">
      <x:c r="A23" s="20" t="str">
        <x:v>M4</x:v>
      </x:c>
      <x:c r="B23" s="21" t="str">
        <x:v>T6853</x:v>
      </x:c>
      <x:c r="C23" s="21" t="str">
        <x:v>GSK591</x:v>
      </x:c>
      <x:c r="D23" s="21" t="str">
        <x:v>HT-29</x:v>
      </x:c>
      <x:c r="E23" s="21" t="str">
        <x:v>2</x:v>
      </x:c>
      <x:c r="F23" s="21" t="str">
        <x:v>HT-29 2</x:v>
      </x:c>
      <x:c r="G23" s="21" t="str">
        <x:v>=1-E18/$E$19</x:v>
      </x:c>
      <x:c r="H23" s="21" t="str">
        <x:v>E19</x:v>
      </x:c>
      <x:c r="I23" s="21" t="str">
        <x:v>F10</x:v>
      </x:c>
      <x:c r="J23" s="21" t="n">
        <x:v>1.4457</x:v>
      </x:c>
      <x:c r="K23" s="21" t="n">
        <x:v>1.6134</x:v>
      </x:c>
      <x:c r="L23" s="21" t="n">
        <x:v>1.6367</x:v>
      </x:c>
      <x:c r="M23" s="21" t="n">
        <x:v>2.0179</x:v>
      </x:c>
      <x:c r="N23" s="21" t="n">
        <x:v>1.8466</x:v>
      </x:c>
      <x:c r="O23" s="21" t="n">
        <x:v>1.8658</x:v>
      </x:c>
      <x:c r="P23" s="21" t="n">
        <x:v>0.1952</x:v>
      </x:c>
      <x:c r="Q23" s="21" t="n">
        <x:v>0.1847</x:v>
      </x:c>
      <x:c r="R23" s="21" t="n">
        <x:v>0.1932</x:v>
      </x:c>
      <x:c r="S23" s="34" t="n">
        <x:f>AVERAGE(J23:L23)</x:f>
        <x:v>1.5652666666666668</x:v>
      </x:c>
      <x:c r="T23" s="34" t="n">
        <x:f>AVERAGE(M23:O23)</x:f>
        <x:v>1.9101</x:v>
      </x:c>
      <x:c r="U23" s="34" t="n">
        <x:f>AVERAGE(P23:R23)</x:f>
        <x:v>0.19103333333333336</x:v>
      </x:c>
      <x:c r="V23" s="34" t="n">
        <x:f>1-(S23-U23)/(T23-U23)</x:f>
        <x:v>0.2005933452260915</x:v>
      </x:c>
      <x:c r="W23" s="34" t="n">
        <x:f>V23*100</x:f>
        <x:v>20.059334522609152</x:v>
      </x:c>
      <x:c r="X23" s="34" t="n">
        <x:v>0.200593345226092</x:v>
      </x:c>
      <x:c r="Y23" s="36" t="n">
        <x:f>ABS(V23-X23)</x:f>
        <x:v>4.996003610813204e-16</x:v>
      </x:c>
      <x:c r="Z23" s="42" t="str">
        <x:f>IF(Y23&lt;1E-10,"PASS","FAIL")</x:f>
        <x:v>PASS</x:v>
      </x:c>
    </x:row>
    <x:row r="24">
      <x:c r="A24" s="20" t="str">
        <x:v>M5</x:v>
      </x:c>
      <x:c r="B24" s="21" t="str">
        <x:v>T6980</x:v>
      </x:c>
      <x:c r="C24" s="21" t="str">
        <x:v>Scriptaid</x:v>
      </x:c>
      <x:c r="D24" s="21" t="str">
        <x:v>HT-29</x:v>
      </x:c>
      <x:c r="E24" s="21" t="str">
        <x:v>2</x:v>
      </x:c>
      <x:c r="F24" s="21" t="str">
        <x:v>HT-29 2</x:v>
      </x:c>
      <x:c r="G24" s="21" t="str">
        <x:v>=1-J18/$E$19</x:v>
      </x:c>
      <x:c r="H24" s="21" t="str">
        <x:v>E19</x:v>
      </x:c>
      <x:c r="I24" s="21" t="str">
        <x:v>F10</x:v>
      </x:c>
      <x:c r="J24" s="21" t="n">
        <x:v>0.3842</x:v>
      </x:c>
      <x:c r="K24" s="21" t="n">
        <x:v>0.3813</x:v>
      </x:c>
      <x:c r="L24" s="21" t="n">
        <x:v>0.3302</x:v>
      </x:c>
      <x:c r="M24" s="21" t="n">
        <x:v>2.0179</x:v>
      </x:c>
      <x:c r="N24" s="21" t="n">
        <x:v>1.8466</x:v>
      </x:c>
      <x:c r="O24" s="21" t="n">
        <x:v>1.8658</x:v>
      </x:c>
      <x:c r="P24" s="21" t="n">
        <x:v>0.1952</x:v>
      </x:c>
      <x:c r="Q24" s="21" t="n">
        <x:v>0.1847</x:v>
      </x:c>
      <x:c r="R24" s="21" t="n">
        <x:v>0.1932</x:v>
      </x:c>
      <x:c r="S24" s="34" t="n">
        <x:f>AVERAGE(J24:L24)</x:f>
        <x:v>0.3652333333333333</x:v>
      </x:c>
      <x:c r="T24" s="34" t="n">
        <x:f>AVERAGE(M24:O24)</x:f>
        <x:v>1.9101</x:v>
      </x:c>
      <x:c r="U24" s="34" t="n">
        <x:f>AVERAGE(P24:R24)</x:f>
        <x:v>0.19103333333333336</x:v>
      </x:c>
      <x:c r="V24" s="34" t="n">
        <x:f>1-(S24-U24)/(T24-U24)</x:f>
        <x:v>0.8986659427596371</x:v>
      </x:c>
      <x:c r="W24" s="34" t="n">
        <x:f>V24*100</x:f>
        <x:v>89.8665942759637</x:v>
      </x:c>
      <x:c r="X24" s="34" t="n">
        <x:v>0.898665942759637</x:v>
      </x:c>
      <x:c r="Y24" s="36" t="n">
        <x:f>ABS(V24-X24)</x:f>
        <x:v>1.1102230246251565e-16</x:v>
      </x:c>
      <x:c r="Z24" s="42" t="str">
        <x:f>IF(Y24&lt;1E-10,"PASS","FAIL")</x:f>
        <x:v>PASS</x:v>
      </x:c>
    </x:row>
    <x:row r="25">
      <x:c r="A25" s="20" t="str">
        <x:v>M6</x:v>
      </x:c>
      <x:c r="B25" s="21" t="str">
        <x:v>T60904</x:v>
      </x:c>
      <x:c r="C25" s="21" t="str">
        <x:v>ERCC1-XPF-IN-2</x:v>
      </x:c>
      <x:c r="D25" s="21" t="str">
        <x:v>HT-29</x:v>
      </x:c>
      <x:c r="E25" s="21" t="str">
        <x:v>2</x:v>
      </x:c>
      <x:c r="F25" s="21" t="str">
        <x:v>HT-29 2</x:v>
      </x:c>
      <x:c r="G25" s="21" t="str">
        <x:v>=1-B18/$E$19</x:v>
      </x:c>
      <x:c r="H25" s="21" t="str">
        <x:v>E19</x:v>
      </x:c>
      <x:c r="I25" s="21" t="str">
        <x:v>F10</x:v>
      </x:c>
      <x:c r="J25" s="21" t="n">
        <x:v>1.8353</x:v>
      </x:c>
      <x:c r="K25" s="21" t="n">
        <x:v>1.9799</x:v>
      </x:c>
      <x:c r="L25" s="21" t="n">
        <x:v>1.919</x:v>
      </x:c>
      <x:c r="M25" s="21" t="n">
        <x:v>2.0179</x:v>
      </x:c>
      <x:c r="N25" s="21" t="n">
        <x:v>1.8466</x:v>
      </x:c>
      <x:c r="O25" s="21" t="n">
        <x:v>1.8658</x:v>
      </x:c>
      <x:c r="P25" s="21" t="n">
        <x:v>0.1952</x:v>
      </x:c>
      <x:c r="Q25" s="21" t="n">
        <x:v>0.1847</x:v>
      </x:c>
      <x:c r="R25" s="21" t="n">
        <x:v>0.1932</x:v>
      </x:c>
      <x:c r="S25" s="34" t="n">
        <x:f>AVERAGE(J25:L25)</x:f>
        <x:v>1.9113999999999998</x:v>
      </x:c>
      <x:c r="T25" s="34" t="n">
        <x:f>AVERAGE(M25:O25)</x:f>
        <x:v>1.9101</x:v>
      </x:c>
      <x:c r="U25" s="34" t="n">
        <x:f>AVERAGE(P25:R25)</x:f>
        <x:v>0.19103333333333336</x:v>
      </x:c>
      <x:c r="V25" s="34" t="n">
        <x:f>1-(S25-U25)/(T25-U25)</x:f>
        <x:v>-0.0007562243077638975</x:v>
      </x:c>
      <x:c r="W25" s="34" t="n">
        <x:f>V25*100</x:f>
        <x:v>-0.07562243077638975</x:v>
      </x:c>
      <x:c r="X25" s="34" t="n">
        <x:v>-0.000756224307763897</x:v>
      </x:c>
      <x:c r="Y25" s="36" t="n">
        <x:f>ABS(V25-X25)</x:f>
        <x:v>4.336808689942018e-19</x:v>
      </x:c>
      <x:c r="Z25" s="42" t="str">
        <x:f>IF(Y25&lt;1E-10,"PASS","FAIL")</x:f>
        <x:v>PASS</x:v>
      </x:c>
    </x:row>
    <x:row r="26">
      <x:c r="A26" s="20" t="str">
        <x:v>M1</x:v>
      </x:c>
      <x:c r="B26" s="21" t="str">
        <x:v>T9335</x:v>
      </x:c>
      <x:c r="C26" s="21" t="str">
        <x:v>1,1'-Methylenedi-2-naphthol</x:v>
      </x:c>
      <x:c r="D26" s="21" t="str">
        <x:v>SW480</x:v>
      </x:c>
      <x:c r="E26" s="21" t="str">
        <x:v>1</x:v>
      </x:c>
      <x:c r="F26" s="21" t="str">
        <x:v>SW480 1</x:v>
      </x:c>
      <x:c r="G26" s="21" t="str">
        <x:v>=1-H19/$I$19</x:v>
      </x:c>
      <x:c r="H26" s="21" t="str">
        <x:v>I19</x:v>
      </x:c>
      <x:c r="I26" s="21" t="str">
        <x:v>J10</x:v>
      </x:c>
      <x:c r="J26" s="21" t="n">
        <x:v>0.9403</x:v>
      </x:c>
      <x:c r="K26" s="21" t="n">
        <x:v>0.9325</x:v>
      </x:c>
      <x:c r="L26" s="21" t="n">
        <x:v>0.9319</x:v>
      </x:c>
      <x:c r="M26" s="21" t="n">
        <x:v>1.183</x:v>
      </x:c>
      <x:c r="N26" s="21" t="n">
        <x:v>1.1657</x:v>
      </x:c>
      <x:c r="O26" s="21" t="n">
        <x:v>1.154</x:v>
      </x:c>
      <x:c r="P26" s="21" t="n">
        <x:v>0.3476</x:v>
      </x:c>
      <x:c r="Q26" s="21" t="n">
        <x:v>0.3241</x:v>
      </x:c>
      <x:c r="R26" s="21" t="n">
        <x:v>0.3378</x:v>
      </x:c>
      <x:c r="S26" s="34" t="n">
        <x:f>AVERAGE(J26:L26)</x:f>
        <x:v>0.9349</x:v>
      </x:c>
      <x:c r="T26" s="34" t="n">
        <x:f>AVERAGE(M26:O26)</x:f>
        <x:v>1.1675666666666666</x:v>
      </x:c>
      <x:c r="U26" s="34" t="n">
        <x:f>AVERAGE(P26:R26)</x:f>
        <x:v>0.3365</x:v>
      </x:c>
      <x:c r="V26" s="34" t="n">
        <x:f>1-(S26-U26)/(T26-U26)</x:f>
        <x:v>0.27996149526712666</x:v>
      </x:c>
      <x:c r="W26" s="34" t="n">
        <x:f>V26*100</x:f>
        <x:v>27.996149526712667</x:v>
      </x:c>
      <x:c r="X26" s="34" t="n">
        <x:v>0.279961495267127</x:v>
      </x:c>
      <x:c r="Y26" s="36" t="n">
        <x:f>ABS(V26-X26)</x:f>
        <x:v>3.3306690738754696e-16</x:v>
      </x:c>
      <x:c r="Z26" s="42" t="str">
        <x:f>IF(Y26&lt;1E-10,"PASS","FAIL")</x:f>
        <x:v>PASS</x:v>
      </x:c>
    </x:row>
    <x:row r="27">
      <x:c r="A27" s="20" t="str">
        <x:v>M2</x:v>
      </x:c>
      <x:c r="B27" s="21" t="str">
        <x:v>T61189</x:v>
      </x:c>
      <x:c r="C27" s="21" t="str">
        <x:v>E7016</x:v>
      </x:c>
      <x:c r="D27" s="21" t="str">
        <x:v>SW480</x:v>
      </x:c>
      <x:c r="E27" s="21" t="str">
        <x:v>1</x:v>
      </x:c>
      <x:c r="F27" s="21" t="str">
        <x:v>SW480 1</x:v>
      </x:c>
      <x:c r="G27" s="21" t="str">
        <x:v>=1-D19/$I$19</x:v>
      </x:c>
      <x:c r="H27" s="21" t="str">
        <x:v>I19</x:v>
      </x:c>
      <x:c r="I27" s="21" t="str">
        <x:v>J10</x:v>
      </x:c>
      <x:c r="J27" s="21" t="n">
        <x:v>0.7714</x:v>
      </x:c>
      <x:c r="K27" s="21" t="n">
        <x:v>0.773</x:v>
      </x:c>
      <x:c r="L27" s="21" t="n">
        <x:v>0.7877</x:v>
      </x:c>
      <x:c r="M27" s="21" t="n">
        <x:v>1.183</x:v>
      </x:c>
      <x:c r="N27" s="21" t="n">
        <x:v>1.1657</x:v>
      </x:c>
      <x:c r="O27" s="21" t="n">
        <x:v>1.154</x:v>
      </x:c>
      <x:c r="P27" s="21" t="n">
        <x:v>0.3476</x:v>
      </x:c>
      <x:c r="Q27" s="21" t="n">
        <x:v>0.3241</x:v>
      </x:c>
      <x:c r="R27" s="21" t="n">
        <x:v>0.3378</x:v>
      </x:c>
      <x:c r="S27" s="34" t="n">
        <x:f>AVERAGE(J27:L27)</x:f>
        <x:v>0.7773666666666667</x:v>
      </x:c>
      <x:c r="T27" s="34" t="n">
        <x:f>AVERAGE(M27:O27)</x:f>
        <x:v>1.1675666666666666</x:v>
      </x:c>
      <x:c r="U27" s="34" t="n">
        <x:f>AVERAGE(P27:R27)</x:f>
        <x:v>0.3365</x:v>
      </x:c>
      <x:c r="V27" s="34" t="n">
        <x:f>1-(S27-U27)/(T27-U27)</x:f>
        <x:v>0.4695170864752126</x:v>
      </x:c>
      <x:c r="W27" s="34" t="n">
        <x:f>V27*100</x:f>
        <x:v>46.951708647521265</x:v>
      </x:c>
      <x:c r="X27" s="34" t="n">
        <x:v>0.469517086475213</x:v>
      </x:c>
      <x:c r="Y27" s="36" t="n">
        <x:f>ABS(V27-X27)</x:f>
        <x:v>3.885780586188048e-16</x:v>
      </x:c>
      <x:c r="Z27" s="42" t="str">
        <x:f>IF(Y27&lt;1E-10,"PASS","FAIL")</x:f>
        <x:v>PASS</x:v>
      </x:c>
    </x:row>
    <x:row r="28">
      <x:c r="A28" s="20" t="str">
        <x:v>M3</x:v>
      </x:c>
      <x:c r="B28" s="21" t="str">
        <x:v>T12502</x:v>
      </x:c>
      <x:c r="C28" s="21" t="str">
        <x:v>PLpro inhibitor</x:v>
      </x:c>
      <x:c r="D28" s="21" t="str">
        <x:v>SW480</x:v>
      </x:c>
      <x:c r="E28" s="21" t="str">
        <x:v>2</x:v>
      </x:c>
      <x:c r="F28" s="21" t="str">
        <x:v>SW480 2</x:v>
      </x:c>
      <x:c r="G28" s="21" t="str">
        <x:v>=1-D18/$E$19</x:v>
      </x:c>
      <x:c r="H28" s="21" t="str">
        <x:v>E19</x:v>
      </x:c>
      <x:c r="I28" s="21" t="str">
        <x:v>F10</x:v>
      </x:c>
      <x:c r="J28" s="21" t="n">
        <x:v>1.0953</x:v>
      </x:c>
      <x:c r="K28" s="21" t="n">
        <x:v>1.1118</x:v>
      </x:c>
      <x:c r="L28" s="21" t="n">
        <x:v>1.1238</x:v>
      </x:c>
      <x:c r="M28" s="21" t="n">
        <x:v>1.1675</x:v>
      </x:c>
      <x:c r="N28" s="21" t="n">
        <x:v>1.1665</x:v>
      </x:c>
      <x:c r="O28" s="21" t="n">
        <x:v>1.1679</x:v>
      </x:c>
      <x:c r="P28" s="21" t="n">
        <x:v>0.3461</x:v>
      </x:c>
      <x:c r="Q28" s="21" t="n">
        <x:v>0.316</x:v>
      </x:c>
      <x:c r="R28" s="21" t="n">
        <x:v>0.3284</x:v>
      </x:c>
      <x:c r="S28" s="34" t="n">
        <x:f>AVERAGE(J28:L28)</x:f>
        <x:v>1.1102999999999998</x:v>
      </x:c>
      <x:c r="T28" s="34" t="n">
        <x:f>AVERAGE(M28:O28)</x:f>
        <x:v>1.1673</x:v>
      </x:c>
      <x:c r="U28" s="34" t="n">
        <x:f>AVERAGE(P28:R28)</x:f>
        <x:v>0.33016666666666666</x:v>
      </x:c>
      <x:c r="V28" s="34" t="n">
        <x:f>1-(S28-U28)/(T28-U28)</x:f>
        <x:v>0.06808951182607326</x:v>
      </x:c>
      <x:c r="W28" s="34" t="n">
        <x:f>V28*100</x:f>
        <x:v>6.808951182607325</x:v>
      </x:c>
      <x:c r="X28" s="34" t="n">
        <x:v>0.0680895118260733</x:v>
      </x:c>
      <x:c r="Y28" s="36" t="n">
        <x:f>ABS(V28-X28)</x:f>
        <x:v>4.163336342344337e-17</x:v>
      </x:c>
      <x:c r="Z28" s="42" t="str">
        <x:f>IF(Y28&lt;1E-10,"PASS","FAIL")</x:f>
        <x:v>PASS</x:v>
      </x:c>
    </x:row>
    <x:row r="29">
      <x:c r="A29" s="20" t="str">
        <x:v>M4</x:v>
      </x:c>
      <x:c r="B29" s="21" t="str">
        <x:v>T6853</x:v>
      </x:c>
      <x:c r="C29" s="21" t="str">
        <x:v>GSK591</x:v>
      </x:c>
      <x:c r="D29" s="21" t="str">
        <x:v>SW480</x:v>
      </x:c>
      <x:c r="E29" s="21" t="str">
        <x:v>2</x:v>
      </x:c>
      <x:c r="F29" s="21" t="str">
        <x:v>SW480 2</x:v>
      </x:c>
      <x:c r="G29" s="21" t="str">
        <x:v>=1-E18/$E$19</x:v>
      </x:c>
      <x:c r="H29" s="21" t="str">
        <x:v>E19</x:v>
      </x:c>
      <x:c r="I29" s="21" t="str">
        <x:v>F10</x:v>
      </x:c>
      <x:c r="J29" s="21" t="n">
        <x:v>0.9703</x:v>
      </x:c>
      <x:c r="K29" s="21" t="n">
        <x:v>1.0821</x:v>
      </x:c>
      <x:c r="L29" s="21" t="n">
        <x:v>1.0824</x:v>
      </x:c>
      <x:c r="M29" s="21" t="n">
        <x:v>1.1675</x:v>
      </x:c>
      <x:c r="N29" s="21" t="n">
        <x:v>1.1665</x:v>
      </x:c>
      <x:c r="O29" s="21" t="n">
        <x:v>1.1679</x:v>
      </x:c>
      <x:c r="P29" s="21" t="n">
        <x:v>0.3461</x:v>
      </x:c>
      <x:c r="Q29" s="21" t="n">
        <x:v>0.316</x:v>
      </x:c>
      <x:c r="R29" s="21" t="n">
        <x:v>0.3284</x:v>
      </x:c>
      <x:c r="S29" s="34" t="n">
        <x:f>AVERAGE(J29:L29)</x:f>
        <x:v>1.0449333333333335</x:v>
      </x:c>
      <x:c r="T29" s="34" t="n">
        <x:f>AVERAGE(M29:O29)</x:f>
        <x:v>1.1673</x:v>
      </x:c>
      <x:c r="U29" s="34" t="n">
        <x:f>AVERAGE(P29:R29)</x:f>
        <x:v>0.33016666666666666</x:v>
      </x:c>
      <x:c r="V29" s="34" t="n">
        <x:f>1-(S29-U29)/(T29-U29)</x:f>
        <x:v>0.1461734490722304</x:v>
      </x:c>
      <x:c r="W29" s="34" t="n">
        <x:f>V29*100</x:f>
        <x:v>14.617344907223039</x:v>
      </x:c>
      <x:c r="X29" s="34" t="n">
        <x:v>0.14617344907223</x:v>
      </x:c>
      <x:c r="Y29" s="36" t="n">
        <x:f>ABS(V29-X29)</x:f>
        <x:v>3.885780586188048e-16</x:v>
      </x:c>
      <x:c r="Z29" s="42" t="str">
        <x:f>IF(Y29&lt;1E-10,"PASS","FAIL")</x:f>
        <x:v>PASS</x:v>
      </x:c>
    </x:row>
    <x:row r="30">
      <x:c r="A30" s="20" t="str">
        <x:v>M5</x:v>
      </x:c>
      <x:c r="B30" s="21" t="str">
        <x:v>T6980</x:v>
      </x:c>
      <x:c r="C30" s="21" t="str">
        <x:v>Scriptaid</x:v>
      </x:c>
      <x:c r="D30" s="21" t="str">
        <x:v>SW480</x:v>
      </x:c>
      <x:c r="E30" s="21" t="str">
        <x:v>2</x:v>
      </x:c>
      <x:c r="F30" s="21" t="str">
        <x:v>SW480 2</x:v>
      </x:c>
      <x:c r="G30" s="21" t="str">
        <x:v>=1-J18/$E$19</x:v>
      </x:c>
      <x:c r="H30" s="21" t="str">
        <x:v>E19</x:v>
      </x:c>
      <x:c r="I30" s="21" t="str">
        <x:v>F10</x:v>
      </x:c>
      <x:c r="J30" s="21" t="n">
        <x:v>0.5196</x:v>
      </x:c>
      <x:c r="K30" s="21" t="n">
        <x:v>0.5098</x:v>
      </x:c>
      <x:c r="L30" s="21" t="n">
        <x:v>0.5093</x:v>
      </x:c>
      <x:c r="M30" s="21" t="n">
        <x:v>1.1675</x:v>
      </x:c>
      <x:c r="N30" s="21" t="n">
        <x:v>1.1665</x:v>
      </x:c>
      <x:c r="O30" s="21" t="n">
        <x:v>1.1679</x:v>
      </x:c>
      <x:c r="P30" s="21" t="n">
        <x:v>0.3461</x:v>
      </x:c>
      <x:c r="Q30" s="21" t="n">
        <x:v>0.316</x:v>
      </x:c>
      <x:c r="R30" s="21" t="n">
        <x:v>0.3284</x:v>
      </x:c>
      <x:c r="S30" s="34" t="n">
        <x:f>AVERAGE(J30:L30)</x:f>
        <x:v>0.5129</x:v>
      </x:c>
      <x:c r="T30" s="34" t="n">
        <x:f>AVERAGE(M30:O30)</x:f>
        <x:v>1.1673</x:v>
      </x:c>
      <x:c r="U30" s="34" t="n">
        <x:f>AVERAGE(P30:R30)</x:f>
        <x:v>0.33016666666666666</x:v>
      </x:c>
      <x:c r="V30" s="34" t="n">
        <x:f>1-(S30-U30)/(T30-U30)</x:f>
        <x:v>0.7817153778768814</x:v>
      </x:c>
      <x:c r="W30" s="34" t="n">
        <x:f>V30*100</x:f>
        <x:v>78.17153778768814</x:v>
      </x:c>
      <x:c r="X30" s="34" t="n">
        <x:v>0.781715377876881</x:v>
      </x:c>
      <x:c r="Y30" s="36" t="n">
        <x:f>ABS(V30-X30)</x:f>
        <x:v>4.440892098500626e-16</x:v>
      </x:c>
      <x:c r="Z30" s="42" t="str">
        <x:f>IF(Y30&lt;1E-10,"PASS","FAIL")</x:f>
        <x:v>PASS</x:v>
      </x:c>
    </x:row>
    <x:row r="31">
      <x:c r="A31" s="20" t="str">
        <x:v>M6</x:v>
      </x:c>
      <x:c r="B31" s="21" t="str">
        <x:v>T60904</x:v>
      </x:c>
      <x:c r="C31" s="21" t="str">
        <x:v>ERCC1-XPF-IN-2</x:v>
      </x:c>
      <x:c r="D31" s="21" t="str">
        <x:v>SW480</x:v>
      </x:c>
      <x:c r="E31" s="21" t="str">
        <x:v>2</x:v>
      </x:c>
      <x:c r="F31" s="21" t="str">
        <x:v>SW480 2</x:v>
      </x:c>
      <x:c r="G31" s="21" t="str">
        <x:v>=1-B18/$E$19</x:v>
      </x:c>
      <x:c r="H31" s="21" t="str">
        <x:v>E19</x:v>
      </x:c>
      <x:c r="I31" s="21" t="str">
        <x:v>F10</x:v>
      </x:c>
      <x:c r="J31" s="21" t="n">
        <x:v>0.9629</x:v>
      </x:c>
      <x:c r="K31" s="21" t="n">
        <x:v>0.9579</x:v>
      </x:c>
      <x:c r="L31" s="21" t="n">
        <x:v>0.9694</x:v>
      </x:c>
      <x:c r="M31" s="21" t="n">
        <x:v>1.1675</x:v>
      </x:c>
      <x:c r="N31" s="21" t="n">
        <x:v>1.1665</x:v>
      </x:c>
      <x:c r="O31" s="21" t="n">
        <x:v>1.1679</x:v>
      </x:c>
      <x:c r="P31" s="21" t="n">
        <x:v>0.3461</x:v>
      </x:c>
      <x:c r="Q31" s="21" t="n">
        <x:v>0.316</x:v>
      </x:c>
      <x:c r="R31" s="21" t="n">
        <x:v>0.3284</x:v>
      </x:c>
      <x:c r="S31" s="34" t="n">
        <x:f>AVERAGE(J31:L31)</x:f>
        <x:v>0.9634</x:v>
      </x:c>
      <x:c r="T31" s="34" t="n">
        <x:f>AVERAGE(M31:O31)</x:f>
        <x:v>1.1673</x:v>
      </x:c>
      <x:c r="U31" s="34" t="n">
        <x:f>AVERAGE(P31:R31)</x:f>
        <x:v>0.33016666666666666</x:v>
      </x:c>
      <x:c r="V31" s="34" t="n">
        <x:f>1-(S31-U31)/(T31-U31)</x:f>
        <x:v>0.24356932388309305</x:v>
      </x:c>
      <x:c r="W31" s="34" t="n">
        <x:f>V31*100</x:f>
        <x:v>24.356932388309303</x:v>
      </x:c>
      <x:c r="X31" s="34" t="n">
        <x:v>0.243569323883093</x:v>
      </x:c>
      <x:c r="Y31" s="36" t="n">
        <x:f>ABS(V31-X31)</x:f>
        <x:v>5.551115123125783e-17</x:v>
      </x:c>
      <x:c r="Z31" s="42" t="str">
        <x:f>IF(Y31&lt;1E-10,"PASS","FAIL")</x:f>
        <x:v>PASS</x:v>
      </x:c>
    </x:row>
    <x:row r="32">
      <x:c r="A32" s="20" t="str">
        <x:v>M1</x:v>
      </x:c>
      <x:c r="B32" s="21" t="str">
        <x:v>T9335</x:v>
      </x:c>
      <x:c r="C32" s="21" t="str">
        <x:v>1,1'-Methylenedi-2-naphthol</x:v>
      </x:c>
      <x:c r="D32" s="21" t="str">
        <x:v>LoVo</x:v>
      </x:c>
      <x:c r="E32" s="21" t="str">
        <x:v>1</x:v>
      </x:c>
      <x:c r="F32" s="21" t="str">
        <x:v>LOVO 1</x:v>
      </x:c>
      <x:c r="G32" s="21" t="str">
        <x:v>=1-H19/$I$19</x:v>
      </x:c>
      <x:c r="H32" s="21" t="str">
        <x:v>I19</x:v>
      </x:c>
      <x:c r="I32" s="21" t="str">
        <x:v>J10</x:v>
      </x:c>
      <x:c r="J32" s="21" t="n">
        <x:v>1.336</x:v>
      </x:c>
      <x:c r="K32" s="21" t="n">
        <x:v>1.2923</x:v>
      </x:c>
      <x:c r="L32" s="21" t="n">
        <x:v>1.363</x:v>
      </x:c>
      <x:c r="M32" s="21" t="n">
        <x:v>1.5127</x:v>
      </x:c>
      <x:c r="N32" s="21" t="n">
        <x:v>1.511</x:v>
      </x:c>
      <x:c r="O32" s="21" t="n">
        <x:v>1.5146</x:v>
      </x:c>
      <x:c r="P32" s="21" t="n">
        <x:v>0.2342</x:v>
      </x:c>
      <x:c r="Q32" s="21" t="n">
        <x:v>0.2221</x:v>
      </x:c>
      <x:c r="R32" s="21" t="n">
        <x:v>0.2346</x:v>
      </x:c>
      <x:c r="S32" s="34" t="n">
        <x:f>AVERAGE(J32:L32)</x:f>
        <x:v>1.3304333333333334</x:v>
      </x:c>
      <x:c r="T32" s="34" t="n">
        <x:f>AVERAGE(M32:O32)</x:f>
        <x:v>1.5127666666666666</x:v>
      </x:c>
      <x:c r="U32" s="34" t="n">
        <x:f>AVERAGE(P32:R32)</x:f>
        <x:v>0.23029999999999998</x:v>
      </x:c>
      <x:c r="V32" s="34" t="n">
        <x:f>1-(S32-U32)/(T32-U32)</x:f>
        <x:v>0.14217393564485103</x:v>
      </x:c>
      <x:c r="W32" s="34" t="n">
        <x:f>V32*100</x:f>
        <x:v>14.217393564485103</x:v>
      </x:c>
      <x:c r="X32" s="34" t="n">
        <x:v>0.142173935644851</x:v>
      </x:c>
      <x:c r="Y32" s="36" t="n">
        <x:f>ABS(V32-X32)</x:f>
        <x:v>2.7755575615628914e-17</x:v>
      </x:c>
      <x:c r="Z32" s="42" t="str">
        <x:f>IF(Y32&lt;1E-10,"PASS","FAIL")</x:f>
        <x:v>PASS</x:v>
      </x:c>
    </x:row>
    <x:row r="33">
      <x:c r="A33" s="20" t="str">
        <x:v>M2</x:v>
      </x:c>
      <x:c r="B33" s="21" t="str">
        <x:v>T61189</x:v>
      </x:c>
      <x:c r="C33" s="21" t="str">
        <x:v>E7016</x:v>
      </x:c>
      <x:c r="D33" s="21" t="str">
        <x:v>LoVo</x:v>
      </x:c>
      <x:c r="E33" s="21" t="str">
        <x:v>1</x:v>
      </x:c>
      <x:c r="F33" s="21" t="str">
        <x:v>LOVO 1</x:v>
      </x:c>
      <x:c r="G33" s="21" t="str">
        <x:v>=1-D19/$I$19</x:v>
      </x:c>
      <x:c r="H33" s="21" t="str">
        <x:v>I19</x:v>
      </x:c>
      <x:c r="I33" s="21" t="str">
        <x:v>J10</x:v>
      </x:c>
      <x:c r="J33" s="21" t="n">
        <x:v>0.3414</x:v>
      </x:c>
      <x:c r="K33" s="21" t="n">
        <x:v>0.3501</x:v>
      </x:c>
      <x:c r="L33" s="21" t="n">
        <x:v>0.355</x:v>
      </x:c>
      <x:c r="M33" s="21" t="n">
        <x:v>1.5127</x:v>
      </x:c>
      <x:c r="N33" s="21" t="n">
        <x:v>1.511</x:v>
      </x:c>
      <x:c r="O33" s="21" t="n">
        <x:v>1.5146</x:v>
      </x:c>
      <x:c r="P33" s="21" t="n">
        <x:v>0.2342</x:v>
      </x:c>
      <x:c r="Q33" s="21" t="n">
        <x:v>0.2221</x:v>
      </x:c>
      <x:c r="R33" s="21" t="n">
        <x:v>0.2346</x:v>
      </x:c>
      <x:c r="S33" s="34" t="n">
        <x:f>AVERAGE(J33:L33)</x:f>
        <x:v>0.34883333333333333</x:v>
      </x:c>
      <x:c r="T33" s="34" t="n">
        <x:f>AVERAGE(M33:O33)</x:f>
        <x:v>1.5127666666666666</x:v>
      </x:c>
      <x:c r="U33" s="34" t="n">
        <x:f>AVERAGE(P33:R33)</x:f>
        <x:v>0.23029999999999998</x:v>
      </x:c>
      <x:c r="V33" s="34" t="n">
        <x:f>1-(S33-U33)/(T33-U33)</x:f>
        <x:v>0.9075739460414826</x:v>
      </x:c>
      <x:c r="W33" s="34" t="n">
        <x:f>V33*100</x:f>
        <x:v>90.75739460414826</x:v>
      </x:c>
      <x:c r="X33" s="34" t="n">
        <x:v>0.907573946041483</x:v>
      </x:c>
      <x:c r="Y33" s="36" t="n">
        <x:f>ABS(V33-X33)</x:f>
        <x:v>4.440892098500626e-16</x:v>
      </x:c>
      <x:c r="Z33" s="42" t="str">
        <x:f>IF(Y33&lt;1E-10,"PASS","FAIL")</x:f>
        <x:v>PASS</x:v>
      </x:c>
    </x:row>
    <x:row r="34">
      <x:c r="A34" s="20" t="str">
        <x:v>M3</x:v>
      </x:c>
      <x:c r="B34" s="21" t="str">
        <x:v>T12502</x:v>
      </x:c>
      <x:c r="C34" s="21" t="str">
        <x:v>PLpro inhibitor</x:v>
      </x:c>
      <x:c r="D34" s="21" t="str">
        <x:v>LoVo</x:v>
      </x:c>
      <x:c r="E34" s="21" t="str">
        <x:v>2</x:v>
      </x:c>
      <x:c r="F34" s="21" t="str">
        <x:v>LOVO 2</x:v>
      </x:c>
      <x:c r="G34" s="21" t="str">
        <x:v>=1-D18/$E$19</x:v>
      </x:c>
      <x:c r="H34" s="21" t="str">
        <x:v>E19</x:v>
      </x:c>
      <x:c r="I34" s="21" t="str">
        <x:v>F10</x:v>
      </x:c>
      <x:c r="J34" s="21" t="n">
        <x:v>1.4035</x:v>
      </x:c>
      <x:c r="K34" s="21" t="n">
        <x:v>1.3341</x:v>
      </x:c>
      <x:c r="L34" s="21" t="n">
        <x:v>1.3208</x:v>
      </x:c>
      <x:c r="M34" s="21" t="n">
        <x:v>1.4387</x:v>
      </x:c>
      <x:c r="N34" s="21" t="n">
        <x:v>1.4317</x:v>
      </x:c>
      <x:c r="O34" s="21" t="n">
        <x:v>1.3892</x:v>
      </x:c>
      <x:c r="P34" s="21" t="n">
        <x:v>0.2089</x:v>
      </x:c>
      <x:c r="Q34" s="21" t="n">
        <x:v>0.1969</x:v>
      </x:c>
      <x:c r="R34" s="21" t="n">
        <x:v>0.2136</x:v>
      </x:c>
      <x:c r="S34" s="34" t="n">
        <x:f>AVERAGE(J34:L34)</x:f>
        <x:v>1.3528</x:v>
      </x:c>
      <x:c r="T34" s="34" t="n">
        <x:f>AVERAGE(M34:O34)</x:f>
        <x:v>1.4198666666666666</x:v>
      </x:c>
      <x:c r="U34" s="34" t="n">
        <x:f>AVERAGE(P34:R34)</x:f>
        <x:v>0.20646666666666666</x:v>
      </x:c>
      <x:c r="V34" s="34" t="n">
        <x:f>1-(S34-U34)/(T34-U34)</x:f>
        <x:v>0.055271688368770944</x:v>
      </x:c>
      <x:c r="W34" s="34" t="n">
        <x:f>V34*100</x:f>
        <x:v>5.527168836877094</x:v>
      </x:c>
      <x:c r="X34" s="34" t="n">
        <x:v>0.0552716883687709</x:v>
      </x:c>
      <x:c r="Y34" s="36" t="n">
        <x:f>ABS(V34-X34)</x:f>
        <x:v>4.163336342344337e-17</x:v>
      </x:c>
      <x:c r="Z34" s="42" t="str">
        <x:f>IF(Y34&lt;1E-10,"PASS","FAIL")</x:f>
        <x:v>PASS</x:v>
      </x:c>
    </x:row>
    <x:row r="35">
      <x:c r="A35" s="20" t="str">
        <x:v>M4</x:v>
      </x:c>
      <x:c r="B35" s="21" t="str">
        <x:v>T6853</x:v>
      </x:c>
      <x:c r="C35" s="21" t="str">
        <x:v>GSK591</x:v>
      </x:c>
      <x:c r="D35" s="21" t="str">
        <x:v>LoVo</x:v>
      </x:c>
      <x:c r="E35" s="21" t="str">
        <x:v>2</x:v>
      </x:c>
      <x:c r="F35" s="21" t="str">
        <x:v>LOVO 2</x:v>
      </x:c>
      <x:c r="G35" s="21" t="str">
        <x:v>=1-E18/$E$19</x:v>
      </x:c>
      <x:c r="H35" s="21" t="str">
        <x:v>E19</x:v>
      </x:c>
      <x:c r="I35" s="21" t="str">
        <x:v>F10</x:v>
      </x:c>
      <x:c r="J35" s="21" t="n">
        <x:v>1.0991</x:v>
      </x:c>
      <x:c r="K35" s="21" t="n">
        <x:v>1.077</x:v>
      </x:c>
      <x:c r="L35" s="21" t="n">
        <x:v>1.0754</x:v>
      </x:c>
      <x:c r="M35" s="21" t="n">
        <x:v>1.4387</x:v>
      </x:c>
      <x:c r="N35" s="21" t="n">
        <x:v>1.4317</x:v>
      </x:c>
      <x:c r="O35" s="21" t="n">
        <x:v>1.3892</x:v>
      </x:c>
      <x:c r="P35" s="21" t="n">
        <x:v>0.2089</x:v>
      </x:c>
      <x:c r="Q35" s="21" t="n">
        <x:v>0.1969</x:v>
      </x:c>
      <x:c r="R35" s="21" t="n">
        <x:v>0.2136</x:v>
      </x:c>
      <x:c r="S35" s="34" t="n">
        <x:f>AVERAGE(J35:L35)</x:f>
        <x:v>1.0838333333333334</x:v>
      </x:c>
      <x:c r="T35" s="34" t="n">
        <x:f>AVERAGE(M35:O35)</x:f>
        <x:v>1.4198666666666666</x:v>
      </x:c>
      <x:c r="U35" s="34" t="n">
        <x:f>AVERAGE(P35:R35)</x:f>
        <x:v>0.20646666666666666</x:v>
      </x:c>
      <x:c r="V35" s="34" t="n">
        <x:f>1-(S35-U35)/(T35-U35)</x:f>
        <x:v>0.2769353332234492</x:v>
      </x:c>
      <x:c r="W35" s="34" t="n">
        <x:f>V35*100</x:f>
        <x:v>27.69353332234492</x:v>
      </x:c>
      <x:c r="X35" s="34" t="n">
        <x:v>0.276935333223449</x:v>
      </x:c>
      <x:c r="Y35" s="36" t="n">
        <x:f>ABS(V35-X35)</x:f>
        <x:v>2.220446049250313e-16</x:v>
      </x:c>
      <x:c r="Z35" s="42" t="str">
        <x:f>IF(Y35&lt;1E-10,"PASS","FAIL")</x:f>
        <x:v>PASS</x:v>
      </x:c>
    </x:row>
    <x:row r="36">
      <x:c r="A36" s="20" t="str">
        <x:v>M5</x:v>
      </x:c>
      <x:c r="B36" s="21" t="str">
        <x:v>T6980</x:v>
      </x:c>
      <x:c r="C36" s="21" t="str">
        <x:v>Scriptaid</x:v>
      </x:c>
      <x:c r="D36" s="21" t="str">
        <x:v>LoVo</x:v>
      </x:c>
      <x:c r="E36" s="21" t="str">
        <x:v>2</x:v>
      </x:c>
      <x:c r="F36" s="21" t="str">
        <x:v>LOVO 2</x:v>
      </x:c>
      <x:c r="G36" s="21" t="str">
        <x:v>=1-J18/$E$19</x:v>
      </x:c>
      <x:c r="H36" s="21" t="str">
        <x:v>E19</x:v>
      </x:c>
      <x:c r="I36" s="21" t="str">
        <x:v>F10</x:v>
      </x:c>
      <x:c r="J36" s="21" t="n">
        <x:v>0.2596</x:v>
      </x:c>
      <x:c r="K36" s="21" t="n">
        <x:v>0.269</x:v>
      </x:c>
      <x:c r="L36" s="21" t="n">
        <x:v>0.2524</x:v>
      </x:c>
      <x:c r="M36" s="21" t="n">
        <x:v>1.4387</x:v>
      </x:c>
      <x:c r="N36" s="21" t="n">
        <x:v>1.4317</x:v>
      </x:c>
      <x:c r="O36" s="21" t="n">
        <x:v>1.3892</x:v>
      </x:c>
      <x:c r="P36" s="21" t="n">
        <x:v>0.2089</x:v>
      </x:c>
      <x:c r="Q36" s="21" t="n">
        <x:v>0.1969</x:v>
      </x:c>
      <x:c r="R36" s="21" t="n">
        <x:v>0.2136</x:v>
      </x:c>
      <x:c r="S36" s="34" t="n">
        <x:f>AVERAGE(J36:L36)</x:f>
        <x:v>0.2603333333333333</x:v>
      </x:c>
      <x:c r="T36" s="34" t="n">
        <x:f>AVERAGE(M36:O36)</x:f>
        <x:v>1.4198666666666666</x:v>
      </x:c>
      <x:c r="U36" s="34" t="n">
        <x:f>AVERAGE(P36:R36)</x:f>
        <x:v>0.20646666666666666</x:v>
      </x:c>
      <x:c r="V36" s="34" t="n">
        <x:f>1-(S36-U36)/(T36-U36)</x:f>
        <x:v>0.9556068347892973</x:v>
      </x:c>
      <x:c r="W36" s="34" t="n">
        <x:f>V36*100</x:f>
        <x:v>95.56068347892973</x:v>
      </x:c>
      <x:c r="X36" s="34" t="n">
        <x:v>0.955606834789297</x:v>
      </x:c>
      <x:c r="Y36" s="36" t="n">
        <x:f>ABS(V36-X36)</x:f>
        <x:v>3.3306690738754696e-16</x:v>
      </x:c>
      <x:c r="Z36" s="42" t="str">
        <x:f>IF(Y36&lt;1E-10,"PASS","FAIL")</x:f>
        <x:v>PASS</x:v>
      </x:c>
    </x:row>
    <x:row r="37">
      <x:c r="A37" s="23" t="str">
        <x:v>M6</x:v>
      </x:c>
      <x:c r="B37" s="24" t="str">
        <x:v>T60904</x:v>
      </x:c>
      <x:c r="C37" s="24" t="str">
        <x:v>ERCC1-XPF-IN-2</x:v>
      </x:c>
      <x:c r="D37" s="24" t="str">
        <x:v>LoVo</x:v>
      </x:c>
      <x:c r="E37" s="24" t="str">
        <x:v>2</x:v>
      </x:c>
      <x:c r="F37" s="24" t="str">
        <x:v>LOVO 2</x:v>
      </x:c>
      <x:c r="G37" s="24" t="str">
        <x:v>=1-B18/$E$19</x:v>
      </x:c>
      <x:c r="H37" s="24" t="str">
        <x:v>E19</x:v>
      </x:c>
      <x:c r="I37" s="24" t="str">
        <x:v>F10</x:v>
      </x:c>
      <x:c r="J37" s="24" t="n">
        <x:v>1.1035</x:v>
      </x:c>
      <x:c r="K37" s="24" t="n">
        <x:v>1.1238</x:v>
      </x:c>
      <x:c r="L37" s="24" t="n">
        <x:v>1.1202</x:v>
      </x:c>
      <x:c r="M37" s="24" t="n">
        <x:v>1.4387</x:v>
      </x:c>
      <x:c r="N37" s="24" t="n">
        <x:v>1.4317</x:v>
      </x:c>
      <x:c r="O37" s="24" t="n">
        <x:v>1.3892</x:v>
      </x:c>
      <x:c r="P37" s="24" t="n">
        <x:v>0.2089</x:v>
      </x:c>
      <x:c r="Q37" s="24" t="n">
        <x:v>0.1969</x:v>
      </x:c>
      <x:c r="R37" s="24" t="n">
        <x:v>0.2136</x:v>
      </x:c>
      <x:c r="S37" s="35" t="n">
        <x:f>AVERAGE(J37:L37)</x:f>
        <x:v>1.1158333333333332</x:v>
      </x:c>
      <x:c r="T37" s="35" t="n">
        <x:f>AVERAGE(M37:O37)</x:f>
        <x:v>1.4198666666666666</x:v>
      </x:c>
      <x:c r="U37" s="35" t="n">
        <x:f>AVERAGE(P37:R37)</x:f>
        <x:v>0.20646666666666666</x:v>
      </x:c>
      <x:c r="V37" s="35" t="n">
        <x:f>1-(S37-U37)/(T37-U37)</x:f>
        <x:v>0.25056315587055666</x:v>
      </x:c>
      <x:c r="W37" s="35" t="n">
        <x:f>V37*100</x:f>
        <x:v>25.056315587055668</x:v>
      </x:c>
      <x:c r="X37" s="35" t="n">
        <x:v>0.250563155870557</x:v>
      </x:c>
      <x:c r="Y37" s="37" t="n">
        <x:f>ABS(V37-X37)</x:f>
        <x:v>3.3306690738754696e-16</x:v>
      </x:c>
      <x:c r="Z37" s="43" t="str">
        <x:f>IF(Y37&lt;1E-10,"PASS","FAIL")</x:f>
        <x:v>PASS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3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>
      <x:c r="A1" s="16" t="str">
        <x:v>Cell-viability inhibition (%)</x:v>
      </x:c>
      <x:c r="B1" s="16"/>
      <x:c r="C1" s="16"/>
      <x:c r="D1" s="16"/>
      <x:c r="E1" s="16"/>
      <x:c r="F1" s="16"/>
      <x:c r="G1" s="16"/>
      <x:c r="H1" s="16"/>
      <x:c r="I1" s="16"/>
    </x:row>
    <x:row r="3">
      <x:c r="A3" s="7" t="str">
        <x:v>panel_id</x:v>
      </x:c>
      <x:c r="B3" s="7" t="str">
        <x:v>compound_id</x:v>
      </x:c>
      <x:c r="C3" s="7" t="str">
        <x:v>compound_name</x:v>
      </x:c>
      <x:c r="D3" s="7" t="str">
        <x:v>HCT116</x:v>
      </x:c>
      <x:c r="E3" s="7" t="str">
        <x:v>SW620</x:v>
      </x:c>
      <x:c r="F3" s="7" t="str">
        <x:v>DLD-1</x:v>
      </x:c>
      <x:c r="G3" s="7" t="str">
        <x:v>HT-29</x:v>
      </x:c>
      <x:c r="H3" s="7" t="str">
        <x:v>SW480</x:v>
      </x:c>
      <x:c r="I3" s="7" t="str">
        <x:v>LoVo</x:v>
      </x:c>
    </x:row>
    <x:row r="4">
      <x:c r="A4" t="str">
        <x:v>M1</x:v>
      </x:c>
      <x:c r="B4" t="str">
        <x:v>T9335</x:v>
      </x:c>
      <x:c r="C4" t="str">
        <x:v>1,1'-Methylenedi-2-naphthol</x:v>
      </x:c>
      <x:c r="D4" s="44" t="n">
        <x:v>38.55060755999865</x:v>
      </x:c>
      <x:c r="E4" s="44" t="n">
        <x:v>41.69581098935262</x:v>
      </x:c>
      <x:c r="F4" s="44" t="n">
        <x:v>-5.333253524077475</x:v>
      </x:c>
      <x:c r="G4" s="44" t="n">
        <x:v>16.925423331117283</x:v>
      </x:c>
      <x:c r="H4" s="44" t="n">
        <x:v>27.996149526712667</x:v>
      </x:c>
      <x:c r="I4" s="44" t="n">
        <x:v>14.217393564485103</x:v>
      </x:c>
    </x:row>
    <x:row r="5">
      <x:c r="A5" t="str">
        <x:v>M2</x:v>
      </x:c>
      <x:c r="B5" t="str">
        <x:v>T61189</x:v>
      </x:c>
      <x:c r="C5" t="str">
        <x:v>E7016</x:v>
      </x:c>
      <x:c r="D5" s="44" t="n">
        <x:v>-5.651486081658752</x:v>
      </x:c>
      <x:c r="E5" s="44" t="n">
        <x:v>22.87635035361779</x:v>
      </x:c>
      <x:c r="F5" s="44" t="n">
        <x:v>60.21907640738635</x:v>
      </x:c>
      <x:c r="G5" s="44" t="n">
        <x:v>35.48160025028352</x:v>
      </x:c>
      <x:c r="H5" s="44" t="n">
        <x:v>46.951708647521265</x:v>
      </x:c>
      <x:c r="I5" s="44" t="n">
        <x:v>90.75739460414826</x:v>
      </x:c>
    </x:row>
    <x:row r="6">
      <x:c r="A6" t="str">
        <x:v>M3</x:v>
      </x:c>
      <x:c r="B6" t="str">
        <x:v>T12502</x:v>
      </x:c>
      <x:c r="C6" t="str">
        <x:v>PLpro inhibitor</x:v>
      </x:c>
      <x:c r="D6" s="44" t="n">
        <x:v>-17.361281610606415</x:v>
      </x:c>
      <x:c r="E6" s="44" t="n">
        <x:v>-6.793627540743463</x:v>
      </x:c>
      <x:c r="F6" s="44" t="n">
        <x:v>7.053494391716997</x:v>
      </x:c>
      <x:c r="G6" s="44" t="n">
        <x:v>6.718762118979294</x:v>
      </x:c>
      <x:c r="H6" s="44" t="n">
        <x:v>6.808951182607325</x:v>
      </x:c>
      <x:c r="I6" s="44" t="n">
        <x:v>5.527168836877094</x:v>
      </x:c>
    </x:row>
    <x:row r="7">
      <x:c r="A7" t="str">
        <x:v>M4</x:v>
      </x:c>
      <x:c r="B7" t="str">
        <x:v>T6853</x:v>
      </x:c>
      <x:c r="C7" t="str">
        <x:v>GSK591</x:v>
      </x:c>
      <x:c r="D7" s="44" t="n">
        <x:v>29.15848269089125</x:v>
      </x:c>
      <x:c r="E7" s="44" t="n">
        <x:v>-11.495147408899475</x:v>
      </x:c>
      <x:c r="F7" s="44" t="n">
        <x:v>2.9551337359792984</x:v>
      </x:c>
      <x:c r="G7" s="44" t="n">
        <x:v>20.059334522609173</x:v>
      </x:c>
      <x:c r="H7" s="44" t="n">
        <x:v>14.617344907223073</x:v>
      </x:c>
      <x:c r="I7" s="44" t="n">
        <x:v>27.693533322344944</x:v>
      </x:c>
    </x:row>
    <x:row r="8">
      <x:c r="A8" t="str">
        <x:v>M5</x:v>
      </x:c>
      <x:c r="B8" t="str">
        <x:v>T6980</x:v>
      </x:c>
      <x:c r="C8" t="str">
        <x:v>Scriptaid</x:v>
      </x:c>
      <x:c r="D8" s="44" t="n">
        <x:v>98.74478271544316</x:v>
      </x:c>
      <x:c r="E8" s="44" t="n">
        <x:v>63.57809924922175</x:v>
      </x:c>
      <x:c r="F8" s="44" t="n">
        <x:v>92.2624183409343</x:v>
      </x:c>
      <x:c r="G8" s="44" t="n">
        <x:v>89.8665942759637</x:v>
      </x:c>
      <x:c r="H8" s="44" t="n">
        <x:v>78.17153778768814</x:v>
      </x:c>
      <x:c r="I8" s="44" t="n">
        <x:v>95.56068347892973</x:v>
      </x:c>
    </x:row>
    <x:row r="9">
      <x:c r="A9" t="str">
        <x:v>M6</x:v>
      </x:c>
      <x:c r="B9" t="str">
        <x:v>T60904</x:v>
      </x:c>
      <x:c r="C9" t="str">
        <x:v>ERCC1-XPF-IN-2</x:v>
      </x:c>
      <x:c r="D9" s="44" t="n">
        <x:v>-16.219616989933705</x:v>
      </x:c>
      <x:c r="E9" s="44" t="n">
        <x:v>21.854971616919983</x:v>
      </x:c>
      <x:c r="F9" s="44" t="n">
        <x:v>16.350301984469382</x:v>
      </x:c>
      <x:c r="G9" s="44" t="n">
        <x:v>-0.07562243077638975</x:v>
      </x:c>
      <x:c r="H9" s="44" t="n">
        <x:v>24.356932388309303</x:v>
      </x:c>
      <x:c r="I9" s="44" t="n">
        <x:v>25.056315587055668</x:v>
      </x:c>
    </x:row>
  </x:sheetData>
  <x:mergeCells>
    <x:mergeCell ref="A1:I1"/>
  </x:mergeCells>
  <x:conditionalFormatting sqref="D4:I9">
    <x:cfRule type="colorScale" priority="1">
      <x:colorScale>
        <x:cfvo type="min"/>
        <x:cfvo type="percentile" val="50"/>
        <x:cfvo type="max"/>
        <x:color rgb="FFDCE6F1"/>
        <x:color rgb="FFFFF2CC"/>
        <x:color rgb="FFC6E0B4"/>
      </x:colorScale>
    </x:cfRule>
  </x:conditionalFormatting>
  <x:pageMargins left="0.7" right="0.7" top="0.75" bottom="0.75" header="0.3" footer="0.3"/>
</x:worksheet>
</file>